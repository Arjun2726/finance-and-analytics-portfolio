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hidePivotFieldList="1"/>
  <mc:AlternateContent xmlns:mc="http://schemas.openxmlformats.org/markup-compatibility/2006">
    <mc:Choice Requires="x15">
      <x15ac:absPath xmlns:x15ac="http://schemas.microsoft.com/office/spreadsheetml/2010/11/ac" url="https://uniwa-my.sharepoint.com/personal/23876634_student_uwa_edu_au/Documents/"/>
    </mc:Choice>
  </mc:AlternateContent>
  <xr:revisionPtr revIDLastSave="0" documentId="8_{1979992A-598B-40AD-ABC5-6A98F97D7B38}" xr6:coauthVersionLast="47" xr6:coauthVersionMax="47" xr10:uidLastSave="{00000000-0000-0000-0000-000000000000}"/>
  <bookViews>
    <workbookView xWindow="-108" yWindow="-108" windowWidth="23256" windowHeight="13176" xr2:uid="{74291AE4-9F67-452B-8A4C-136A3734BA6A}"/>
  </bookViews>
  <sheets>
    <sheet name="Profitability Dashboard" sheetId="28" r:id="rId1"/>
    <sheet name="Liquidity Dashboard" sheetId="26" r:id="rId2"/>
    <sheet name="Efficiency Dashboard" sheetId="32" r:id="rId3"/>
    <sheet name="Solvency Dashboard" sheetId="29" r:id="rId4"/>
    <sheet name="Market Performance Dashboard" sheetId="31" r:id="rId5"/>
    <sheet name="Market Performance" sheetId="6" state="hidden" r:id="rId6"/>
    <sheet name="Income Statement" sheetId="1" r:id="rId7"/>
    <sheet name="Balance Sheet" sheetId="7" r:id="rId8"/>
    <sheet name="Cash Flows" sheetId="8" r:id="rId9"/>
    <sheet name="Ratios" sheetId="2" r:id="rId10"/>
    <sheet name="Profitability" sheetId="23" r:id="rId11"/>
  </sheets>
  <definedNames>
    <definedName name="_xlcn.WorksheetConnection_MarketPerformanceA1C19" hidden="1">'Market Performance'!$A$1:$C$19</definedName>
    <definedName name="Slicer_Company">#N/A</definedName>
    <definedName name="Slicer_Metric">#N/A</definedName>
    <definedName name="Slicer_Metric2">#N/A</definedName>
    <definedName name="Slicer_Period">#N/A</definedName>
    <definedName name="Slicer_Period1">#N/A</definedName>
    <definedName name="Slicer_Year">#N/A</definedName>
    <definedName name="Slicer_Year1">#N/A</definedName>
    <definedName name="Slicer_Year2">#N/A</definedName>
    <definedName name="Slicer_Year3">#N/A</definedName>
  </definedNames>
  <calcPr calcId="191028"/>
  <pivotCaches>
    <pivotCache cacheId="458" r:id="rId12"/>
    <pivotCache cacheId="459" r:id="rId13"/>
    <pivotCache cacheId="460" r:id="rId14"/>
    <pivotCache cacheId="461" r:id="rId15"/>
    <pivotCache cacheId="462" r:id="rId16"/>
  </pivotCaches>
  <extLst>
    <ext xmlns:x14="http://schemas.microsoft.com/office/spreadsheetml/2009/9/main" uri="{876F7934-8845-4945-9796-88D515C7AA90}">
      <x14:pivotCaches>
        <pivotCache cacheId="463"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5"/>
        <x14:slicerCache r:id="rId2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arket Performance!$A$1:$C$1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 l="1"/>
  <c r="F13" i="2" s="1"/>
  <c r="J14" i="2"/>
  <c r="J12" i="2"/>
  <c r="J13" i="2" s="1"/>
  <c r="H14" i="2"/>
  <c r="H12" i="2"/>
  <c r="H13" i="2" s="1"/>
  <c r="F14" i="2"/>
  <c r="F11" i="2"/>
  <c r="F10" i="2"/>
  <c r="F9" i="2"/>
  <c r="H2" i="6"/>
  <c r="H5" i="6"/>
  <c r="H4" i="6"/>
  <c r="H7" i="6"/>
  <c r="C7" i="6"/>
  <c r="C5" i="6"/>
  <c r="C4" i="6"/>
  <c r="C2" i="6"/>
  <c r="J22" i="2"/>
  <c r="H22" i="2"/>
  <c r="F22" i="2"/>
  <c r="J29" i="2"/>
  <c r="H29" i="2"/>
  <c r="J26" i="2"/>
  <c r="J28" i="2" s="1"/>
  <c r="H26" i="2"/>
  <c r="H27" i="2" s="1"/>
  <c r="F26" i="2"/>
  <c r="F28" i="2" s="1"/>
  <c r="T7" i="2"/>
  <c r="S7" i="2"/>
  <c r="R7" i="2"/>
  <c r="T6" i="2"/>
  <c r="S6" i="2"/>
  <c r="R6" i="2"/>
  <c r="N7" i="2"/>
  <c r="L7" i="2"/>
  <c r="M7" i="2"/>
  <c r="N6" i="2"/>
  <c r="M6" i="2"/>
  <c r="L6" i="2"/>
  <c r="L5" i="2"/>
  <c r="M5" i="2"/>
  <c r="N5" i="2"/>
  <c r="T5" i="2"/>
  <c r="R5" i="2"/>
  <c r="S5" i="2"/>
  <c r="T4" i="2"/>
  <c r="S4" i="2"/>
  <c r="R4" i="2"/>
  <c r="Q7" i="2"/>
  <c r="P7" i="2"/>
  <c r="O7" i="2"/>
  <c r="P6" i="2"/>
  <c r="O6" i="2"/>
  <c r="Q6" i="2"/>
  <c r="Q5" i="2"/>
  <c r="P5" i="2"/>
  <c r="O5" i="2"/>
  <c r="Q4" i="2"/>
  <c r="P4" i="2"/>
  <c r="O4" i="2"/>
  <c r="L4" i="2"/>
  <c r="M4" i="2"/>
  <c r="N4" i="2"/>
  <c r="J5" i="2"/>
  <c r="F13" i="1"/>
  <c r="J4" i="2"/>
  <c r="H13" i="1"/>
  <c r="F6" i="2"/>
  <c r="H7" i="2"/>
  <c r="F7" i="2"/>
  <c r="B49" i="7"/>
  <c r="B48" i="7"/>
  <c r="B47" i="7"/>
  <c r="B46" i="7"/>
  <c r="F46" i="7"/>
  <c r="H42" i="7"/>
  <c r="H36" i="7"/>
  <c r="H33" i="7"/>
  <c r="H31" i="7"/>
  <c r="H26" i="7"/>
  <c r="H17" i="7"/>
  <c r="H15" i="7"/>
  <c r="H9" i="7"/>
  <c r="H25" i="1"/>
  <c r="F24" i="1"/>
  <c r="H24" i="1"/>
  <c r="H12" i="1"/>
  <c r="H16" i="1" s="1"/>
  <c r="H18" i="1" s="1"/>
  <c r="H6" i="1"/>
  <c r="F6" i="1"/>
  <c r="D12" i="1"/>
  <c r="F21" i="2"/>
  <c r="F5" i="2"/>
  <c r="F4" i="2"/>
  <c r="D46" i="7"/>
  <c r="F49" i="7"/>
  <c r="D49" i="7"/>
  <c r="B13" i="1"/>
  <c r="F17" i="2"/>
  <c r="J19" i="2"/>
  <c r="J18" i="2"/>
  <c r="J17" i="2"/>
  <c r="H19" i="2"/>
  <c r="H18" i="2"/>
  <c r="H17" i="2"/>
  <c r="F19" i="2"/>
  <c r="F18" i="2"/>
  <c r="J11" i="2"/>
  <c r="F48" i="7"/>
  <c r="D48" i="7"/>
  <c r="H11" i="2" s="1"/>
  <c r="F25" i="8"/>
  <c r="F24" i="8"/>
  <c r="D25" i="8"/>
  <c r="D24" i="8"/>
  <c r="B25" i="8"/>
  <c r="D21" i="8"/>
  <c r="F21" i="8"/>
  <c r="B21" i="8"/>
  <c r="D15" i="8"/>
  <c r="F15" i="8"/>
  <c r="B15" i="8"/>
  <c r="D11" i="8"/>
  <c r="F11" i="8"/>
  <c r="B11" i="8"/>
  <c r="D24" i="1"/>
  <c r="B24" i="1"/>
  <c r="D42" i="7"/>
  <c r="F42" i="7"/>
  <c r="B42" i="7"/>
  <c r="D31" i="7"/>
  <c r="F31" i="7"/>
  <c r="B31" i="7"/>
  <c r="D26" i="7"/>
  <c r="D33" i="7" s="1"/>
  <c r="F26" i="7"/>
  <c r="F33" i="7" s="1"/>
  <c r="B26" i="7"/>
  <c r="B33" i="7" s="1"/>
  <c r="D15" i="7"/>
  <c r="F15" i="7"/>
  <c r="B15" i="7"/>
  <c r="D9" i="7"/>
  <c r="F9" i="7"/>
  <c r="B9" i="7"/>
  <c r="F12" i="1"/>
  <c r="B12" i="1"/>
  <c r="D6" i="1"/>
  <c r="B6" i="1"/>
  <c r="B16" i="1" s="1"/>
  <c r="B18" i="1" s="1"/>
  <c r="B25" i="1" s="1"/>
  <c r="H28" i="2" l="1"/>
  <c r="C6" i="6"/>
  <c r="H6" i="6"/>
  <c r="J27" i="2"/>
  <c r="D47" i="7"/>
  <c r="H10" i="2" s="1"/>
  <c r="F47" i="7"/>
  <c r="J10" i="2" s="1"/>
  <c r="D36" i="7"/>
  <c r="B36" i="7"/>
  <c r="F36" i="7"/>
  <c r="B17" i="7"/>
  <c r="B35" i="7" s="1"/>
  <c r="F17" i="7"/>
  <c r="F35" i="7" s="1"/>
  <c r="D17" i="7"/>
  <c r="D13" i="1"/>
  <c r="F16" i="1" l="1"/>
  <c r="F18" i="1" s="1"/>
  <c r="J21" i="2"/>
  <c r="F25" i="1"/>
  <c r="J6" i="2"/>
  <c r="J7" i="2"/>
  <c r="D16" i="1"/>
  <c r="D18" i="1" s="1"/>
  <c r="H4" i="2"/>
  <c r="H21" i="2"/>
  <c r="H9" i="2"/>
  <c r="D35" i="7"/>
  <c r="J9" i="2"/>
  <c r="D25" i="1" l="1"/>
  <c r="H6" i="2"/>
  <c r="H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CF2F70-156A-497A-B786-F49AD28830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172C62-EFFE-46F4-BD98-F896D3B84606}" name="WorksheetConnection_Market Performance!$A$1:$C$19" type="102" refreshedVersion="8" minRefreshableVersion="5">
    <extLst>
      <ext xmlns:x15="http://schemas.microsoft.com/office/spreadsheetml/2010/11/main" uri="{DE250136-89BD-433C-8126-D09CA5730AF9}">
        <x15:connection id="Range" autoDelete="1">
          <x15:rangePr sourceName="_xlcn.WorksheetConnection_MarketPerformanceA1C19"/>
        </x15:connection>
      </ext>
    </extLst>
  </connection>
</connections>
</file>

<file path=xl/sharedStrings.xml><?xml version="1.0" encoding="utf-8"?>
<sst xmlns="http://schemas.openxmlformats.org/spreadsheetml/2006/main" count="568" uniqueCount="177">
  <si>
    <t>Year</t>
  </si>
  <si>
    <t>(All)</t>
  </si>
  <si>
    <t>Sum of Value</t>
  </si>
  <si>
    <t>Column Labels</t>
  </si>
  <si>
    <t>Row Labels</t>
  </si>
  <si>
    <t>EBIT Margin</t>
  </si>
  <si>
    <t>Net Profit Margin</t>
  </si>
  <si>
    <t>ROA</t>
  </si>
  <si>
    <t>ROE</t>
  </si>
  <si>
    <t>Big W</t>
  </si>
  <si>
    <t>KMART</t>
  </si>
  <si>
    <t>Target</t>
  </si>
  <si>
    <t>The Reject Shop</t>
  </si>
  <si>
    <t>Metric</t>
  </si>
  <si>
    <t>2022</t>
  </si>
  <si>
    <t>2023</t>
  </si>
  <si>
    <t>2024</t>
  </si>
  <si>
    <t>Company</t>
  </si>
  <si>
    <t>Ratios</t>
  </si>
  <si>
    <t xml:space="preserve">Current Ratio </t>
  </si>
  <si>
    <t xml:space="preserve">Quick Ratio </t>
  </si>
  <si>
    <t xml:space="preserve">Cash Flow Liquidity Ratio </t>
  </si>
  <si>
    <t>Recent year's Ratio</t>
  </si>
  <si>
    <t>Reject Shop</t>
  </si>
  <si>
    <t>Industry Avg</t>
  </si>
  <si>
    <t>1.5 - 2.5</t>
  </si>
  <si>
    <t>1 - 1.5</t>
  </si>
  <si>
    <t>0.8 - 1</t>
  </si>
  <si>
    <t>Quick Ratio</t>
  </si>
  <si>
    <t>0.3-1</t>
  </si>
  <si>
    <t>Cash flow Ratio</t>
  </si>
  <si>
    <t>around 1</t>
  </si>
  <si>
    <t>Period</t>
  </si>
  <si>
    <t>Asset Turnover</t>
  </si>
  <si>
    <t>Non-Current Asset Turnover</t>
  </si>
  <si>
    <t>PPE Turnover</t>
  </si>
  <si>
    <t>Inventory Turnover</t>
  </si>
  <si>
    <t>Days Inventory</t>
  </si>
  <si>
    <t>Ratio</t>
  </si>
  <si>
    <t>Value</t>
  </si>
  <si>
    <t xml:space="preserve">Interest Cover </t>
  </si>
  <si>
    <t xml:space="preserve">Gearing (D/E) (%) </t>
  </si>
  <si>
    <t>Grand Total</t>
  </si>
  <si>
    <t xml:space="preserve"> </t>
  </si>
  <si>
    <t>EPS</t>
  </si>
  <si>
    <t>Share Price</t>
  </si>
  <si>
    <t>Dividend Payout Ratio</t>
  </si>
  <si>
    <t>Dividend per Share</t>
  </si>
  <si>
    <t>Dividend Yield</t>
  </si>
  <si>
    <t>P/E Ratio</t>
  </si>
  <si>
    <t>`</t>
  </si>
  <si>
    <t>Revenue from continuing operations</t>
  </si>
  <si>
    <t xml:space="preserve">Sales revenue </t>
  </si>
  <si>
    <t>Other income</t>
  </si>
  <si>
    <t xml:space="preserve">Expenses </t>
  </si>
  <si>
    <t xml:space="preserve">Cost of sales </t>
  </si>
  <si>
    <t>Store expenses</t>
  </si>
  <si>
    <t>Administrative expenses</t>
  </si>
  <si>
    <t>EBIT</t>
  </si>
  <si>
    <t>Finance costs</t>
  </si>
  <si>
    <t>Profit before income tax</t>
  </si>
  <si>
    <t>Income tax expense</t>
  </si>
  <si>
    <t>Net Profit (NPAT)</t>
  </si>
  <si>
    <t>Other comprehensive income</t>
  </si>
  <si>
    <t xml:space="preserve">Items that may be re-classified to profit or loss </t>
  </si>
  <si>
    <t xml:space="preserve">Changes in the fair value of cash flow hedges </t>
  </si>
  <si>
    <t xml:space="preserve">Income tax relating to components of other comprehensive income </t>
  </si>
  <si>
    <t xml:space="preserve">Other comprehensive income for the period, net of tax </t>
  </si>
  <si>
    <t xml:space="preserve">Total comprehensive income attributable to shareholders of TRS </t>
  </si>
  <si>
    <t>Earnings per share (Cents)</t>
  </si>
  <si>
    <t xml:space="preserve">Basic earnings per share </t>
  </si>
  <si>
    <t>Diluted earning per share</t>
  </si>
  <si>
    <t>Debt</t>
  </si>
  <si>
    <t>Interest Expense</t>
  </si>
  <si>
    <t>Dividends</t>
  </si>
  <si>
    <t>Shares Outstanding</t>
  </si>
  <si>
    <t>Current Assets</t>
  </si>
  <si>
    <t>Cash and cash equivalents</t>
  </si>
  <si>
    <t>Inventories</t>
  </si>
  <si>
    <t>Tax receivables</t>
  </si>
  <si>
    <t>Derivative financial instruments</t>
  </si>
  <si>
    <t>Other assets</t>
  </si>
  <si>
    <t xml:space="preserve">Total Current Assets </t>
  </si>
  <si>
    <t>Non-current Assets</t>
  </si>
  <si>
    <t xml:space="preserve">Property, Plant and Equipment </t>
  </si>
  <si>
    <t xml:space="preserve">Right-of-use assets </t>
  </si>
  <si>
    <t xml:space="preserve">Deferred tax assets </t>
  </si>
  <si>
    <t>Total Non-current Assets</t>
  </si>
  <si>
    <t>Total Assets</t>
  </si>
  <si>
    <t>Current Liabilities</t>
  </si>
  <si>
    <t>Trade and other payables</t>
  </si>
  <si>
    <t xml:space="preserve">Lease liabilities </t>
  </si>
  <si>
    <t xml:space="preserve">Tax liabilities </t>
  </si>
  <si>
    <t xml:space="preserve">Provisions </t>
  </si>
  <si>
    <t xml:space="preserve">Other liabilities </t>
  </si>
  <si>
    <t>Total Current Liabilities</t>
  </si>
  <si>
    <t>Non-current Liabilities</t>
  </si>
  <si>
    <t>Total Non-current Liabilities</t>
  </si>
  <si>
    <t>Total Liabilities</t>
  </si>
  <si>
    <t>Net Assets</t>
  </si>
  <si>
    <t>Working Capital (CA-CL)</t>
  </si>
  <si>
    <t>Equity</t>
  </si>
  <si>
    <t xml:space="preserve">Contributed equity </t>
  </si>
  <si>
    <t xml:space="preserve">Reserves </t>
  </si>
  <si>
    <t xml:space="preserve">Retained profits </t>
  </si>
  <si>
    <t xml:space="preserve">Total Equity </t>
  </si>
  <si>
    <t xml:space="preserve">Required for calculations </t>
  </si>
  <si>
    <t>Average Total Assets</t>
  </si>
  <si>
    <t>Average Non-current Assets</t>
  </si>
  <si>
    <t xml:space="preserve">Average PPE </t>
  </si>
  <si>
    <t>Average Shareholders Equity</t>
  </si>
  <si>
    <t>Cash flows from operating activities</t>
  </si>
  <si>
    <t>Receipts from customers (inclusive of goods and tax)</t>
  </si>
  <si>
    <t>Payments to suppliers and employees (inclusive of goods and services tax)</t>
  </si>
  <si>
    <t xml:space="preserve">Interest received </t>
  </si>
  <si>
    <t>Insurance income received</t>
  </si>
  <si>
    <t xml:space="preserve">Borrowing costs and facilities fees paid </t>
  </si>
  <si>
    <t xml:space="preserve">Interest on lease liabilities </t>
  </si>
  <si>
    <t xml:space="preserve">Income tax received (net of tax paid) </t>
  </si>
  <si>
    <t xml:space="preserve">Net cash inflows from operating activities </t>
  </si>
  <si>
    <t xml:space="preserve">Cash flows from investing activities </t>
  </si>
  <si>
    <t xml:space="preserve">Payments for property, plant and equipment </t>
  </si>
  <si>
    <t xml:space="preserve">Net cash outflows used in investing activities </t>
  </si>
  <si>
    <t xml:space="preserve">Cash flows from financing activities </t>
  </si>
  <si>
    <t xml:space="preserve">Principal elements of lease payments </t>
  </si>
  <si>
    <t xml:space="preserve">Payments for shares bought back </t>
  </si>
  <si>
    <t xml:space="preserve">Dividends paid </t>
  </si>
  <si>
    <t xml:space="preserve">Net cash outflows used in financing activities </t>
  </si>
  <si>
    <t xml:space="preserve">Net (decrease) / increase in cash held </t>
  </si>
  <si>
    <t xml:space="preserve">Cash at the beginning of the financial period </t>
  </si>
  <si>
    <t xml:space="preserve">Cash at the end of the financial period </t>
  </si>
  <si>
    <t>Financial Metric</t>
  </si>
  <si>
    <t xml:space="preserve">Formula </t>
  </si>
  <si>
    <t>Profitablility</t>
  </si>
  <si>
    <t xml:space="preserve">EBIT Margin (%) </t>
  </si>
  <si>
    <t>(EBIT/Revenue) x 100</t>
  </si>
  <si>
    <t xml:space="preserve">Net Profit Margin (%) </t>
  </si>
  <si>
    <t>(NPAT/Revenue) x 100</t>
  </si>
  <si>
    <t xml:space="preserve">ROA (%) </t>
  </si>
  <si>
    <t>(NPAT/Average Total Assets) x 100</t>
  </si>
  <si>
    <t xml:space="preserve">ROE (%) </t>
  </si>
  <si>
    <t>(NPAT/Average Shareholder's Equity) x 100</t>
  </si>
  <si>
    <t>Efficiency</t>
  </si>
  <si>
    <t xml:space="preserve">Asset Turnover </t>
  </si>
  <si>
    <t>Sales Revenue / Average Total Assets</t>
  </si>
  <si>
    <t xml:space="preserve">Non-current Asset Turnover </t>
  </si>
  <si>
    <t xml:space="preserve">Sales Revenue / Average Non-current Assets </t>
  </si>
  <si>
    <t xml:space="preserve">PPE Turnover </t>
  </si>
  <si>
    <t>Sales Revenue / Average PPE *100</t>
  </si>
  <si>
    <t xml:space="preserve">Inventory Turnover </t>
  </si>
  <si>
    <t>Cost of Goods Sold / Average Inventory</t>
  </si>
  <si>
    <t xml:space="preserve">Days Inventory  </t>
  </si>
  <si>
    <t>365 / Inventory Turnover Ratio</t>
  </si>
  <si>
    <t xml:space="preserve">Days Payables </t>
  </si>
  <si>
    <t>Average Accounts Payable / Cost Of Goods Sold x 365</t>
  </si>
  <si>
    <t xml:space="preserve">Days Receivables </t>
  </si>
  <si>
    <t>Average Accounts Receivable / Net Credit Sales x 365</t>
  </si>
  <si>
    <t>Liquidity</t>
  </si>
  <si>
    <t xml:space="preserve">Current Assets / Current Liabilities </t>
  </si>
  <si>
    <t>Current Assets-Inventories-Prepaid Expenses / Current Liabilities</t>
  </si>
  <si>
    <t xml:space="preserve">Operating Cash Flow / Current Liabilities </t>
  </si>
  <si>
    <t>Solvency</t>
  </si>
  <si>
    <t>EBIT/nterest Expense</t>
  </si>
  <si>
    <t xml:space="preserve">(Total Debt/Equity)*100 </t>
  </si>
  <si>
    <t>Market-based Performance</t>
  </si>
  <si>
    <t>Share price (AUD)</t>
  </si>
  <si>
    <t xml:space="preserve">Share Prices on dates closest to end of reporting period </t>
  </si>
  <si>
    <t>Dividends per share (Cents)</t>
  </si>
  <si>
    <t>(Cents)</t>
  </si>
  <si>
    <t>EPS (Cents)</t>
  </si>
  <si>
    <t xml:space="preserve">Set by company </t>
  </si>
  <si>
    <t>Dividend payout</t>
  </si>
  <si>
    <t>Dividends per share / EPS</t>
  </si>
  <si>
    <t>P/E ratio</t>
  </si>
  <si>
    <t xml:space="preserve">Share price / EPS </t>
  </si>
  <si>
    <t xml:space="preserve">Dividend yield </t>
  </si>
  <si>
    <t xml:space="preserve">(Dividends per share / Share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</si>
</sst>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_-* #,##0_-;\-* #,##0_-;_-* &quot;-&quot;??_-;_-@_-"/>
    <numFmt numFmtId="166" formatCode="#,##0;\(#,##0\)"/>
    <numFmt numFmtId="167" formatCode="#,##0.0;\(#,##0.0\)"/>
    <numFmt numFmtId="168" formatCode="_-[$$-C09]* #,##0.00_-;\-[$$-C09]* #,##0.00_-;_-[$$-C09]* &quot;-&quot;??_-;_-@_-"/>
    <numFmt numFmtId="169" formatCode="_-[$$-C09]* #,##0.0_-;\-[$$-C09]* #,##0.0_-;_-[$$-C09]* &quot;-&quot;??_-;_-@_-"/>
    <numFmt numFmtId="170" formatCode="0.0%"/>
    <numFmt numFmtId="171" formatCode="[$$-C09]#,##0.00;[Red][$$-C09]#,##0.00"/>
    <numFmt numFmtId="172" formatCode="[$$-C09]#,##0.00"/>
    <numFmt numFmtId="173" formatCode="0.000000"/>
    <numFmt numFmtId="174" formatCode="0.0"/>
  </numFmts>
  <fonts count="8">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b/>
      <sz val="11"/>
      <color rgb="FFFF0000"/>
      <name val="Aptos Narrow"/>
      <family val="2"/>
      <scheme val="minor"/>
    </font>
    <font>
      <sz val="8"/>
      <name val="Aptos Narrow"/>
      <family val="2"/>
      <scheme val="minor"/>
    </font>
    <font>
      <sz val="11"/>
      <color theme="2"/>
      <name val="Aptos Narrow"/>
      <family val="2"/>
      <scheme val="minor"/>
    </font>
    <font>
      <sz val="20"/>
      <color theme="1"/>
      <name val="Aptos Narrow"/>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0" tint="-0.34998626667073579"/>
        <bgColor indexed="64"/>
      </patternFill>
    </fill>
    <fill>
      <patternFill patternType="solid">
        <fgColor theme="2"/>
        <bgColor indexed="64"/>
      </patternFill>
    </fill>
    <fill>
      <patternFill patternType="solid">
        <fgColor theme="4"/>
        <bgColor indexed="64"/>
      </patternFill>
    </fill>
    <fill>
      <patternFill patternType="solid">
        <fgColor theme="0"/>
        <bgColor indexed="64"/>
      </patternFill>
    </fill>
  </fills>
  <borders count="19">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FF0000"/>
      </bottom>
      <diagonal/>
    </border>
    <border>
      <left style="thin">
        <color indexed="64"/>
      </left>
      <right/>
      <top style="thin">
        <color indexed="64"/>
      </top>
      <bottom style="thin">
        <color indexed="64"/>
      </bottom>
      <diagonal/>
    </border>
    <border>
      <left/>
      <right/>
      <top style="thin">
        <color rgb="FFFF0000"/>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99">
    <xf numFmtId="0" fontId="0" fillId="0" borderId="0" xfId="0"/>
    <xf numFmtId="0" fontId="2" fillId="0" borderId="1" xfId="0" applyFont="1" applyBorder="1" applyAlignment="1">
      <alignment vertical="center"/>
    </xf>
    <xf numFmtId="0" fontId="0" fillId="0" borderId="1" xfId="0" applyBorder="1"/>
    <xf numFmtId="0" fontId="2" fillId="0" borderId="3" xfId="0" applyFont="1" applyBorder="1" applyAlignment="1">
      <alignment vertical="center"/>
    </xf>
    <xf numFmtId="0" fontId="0" fillId="0" borderId="2" xfId="0" applyBorder="1"/>
    <xf numFmtId="0" fontId="0" fillId="0" borderId="5" xfId="0" applyBorder="1"/>
    <xf numFmtId="0" fontId="0" fillId="0" borderId="7" xfId="0" applyBorder="1"/>
    <xf numFmtId="165" fontId="0" fillId="0" borderId="4" xfId="1" applyNumberFormat="1" applyFont="1" applyBorder="1"/>
    <xf numFmtId="165" fontId="0" fillId="0" borderId="6" xfId="1" applyNumberFormat="1" applyFont="1" applyBorder="1"/>
    <xf numFmtId="0" fontId="0" fillId="0" borderId="0" xfId="0" applyAlignment="1">
      <alignment vertical="center"/>
    </xf>
    <xf numFmtId="165" fontId="0" fillId="0" borderId="0" xfId="1" applyNumberFormat="1" applyFont="1"/>
    <xf numFmtId="165" fontId="0" fillId="0" borderId="0" xfId="1" applyNumberFormat="1" applyFont="1" applyBorder="1"/>
    <xf numFmtId="0" fontId="0" fillId="0" borderId="1" xfId="0" applyBorder="1" applyAlignment="1">
      <alignment vertical="center"/>
    </xf>
    <xf numFmtId="0" fontId="0" fillId="0" borderId="9" xfId="0" applyBorder="1" applyAlignment="1">
      <alignment vertical="center"/>
    </xf>
    <xf numFmtId="165" fontId="0" fillId="0" borderId="10" xfId="1" applyNumberFormat="1" applyFont="1" applyBorder="1"/>
    <xf numFmtId="165" fontId="0" fillId="0" borderId="8" xfId="1" applyNumberFormat="1" applyFont="1" applyBorder="1"/>
    <xf numFmtId="165" fontId="0" fillId="0" borderId="11" xfId="1" applyNumberFormat="1" applyFont="1" applyBorder="1"/>
    <xf numFmtId="0" fontId="0" fillId="0" borderId="8" xfId="0" applyBorder="1"/>
    <xf numFmtId="165" fontId="0" fillId="0" borderId="0" xfId="1" applyNumberFormat="1" applyFont="1" applyFill="1" applyBorder="1"/>
    <xf numFmtId="0" fontId="2" fillId="0" borderId="9" xfId="0" applyFont="1" applyBorder="1" applyAlignment="1">
      <alignment vertical="center"/>
    </xf>
    <xf numFmtId="0" fontId="2" fillId="0" borderId="0" xfId="0" applyFont="1"/>
    <xf numFmtId="165" fontId="0" fillId="0" borderId="14" xfId="1" applyNumberFormat="1" applyFont="1" applyBorder="1"/>
    <xf numFmtId="165" fontId="0" fillId="0" borderId="12" xfId="1" applyNumberFormat="1" applyFont="1" applyBorder="1"/>
    <xf numFmtId="0" fontId="2" fillId="0" borderId="13" xfId="0" applyFont="1" applyBorder="1" applyAlignment="1">
      <alignment vertical="center"/>
    </xf>
    <xf numFmtId="0" fontId="0" fillId="0" borderId="3" xfId="0" applyBorder="1"/>
    <xf numFmtId="165" fontId="0" fillId="0" borderId="5" xfId="1" applyNumberFormat="1" applyFont="1" applyBorder="1"/>
    <xf numFmtId="165" fontId="0" fillId="0" borderId="2" xfId="1" applyNumberFormat="1" applyFont="1" applyBorder="1"/>
    <xf numFmtId="165" fontId="0" fillId="0" borderId="7" xfId="1" applyNumberFormat="1" applyFont="1" applyBorder="1"/>
    <xf numFmtId="0" fontId="0" fillId="0" borderId="3" xfId="0" applyBorder="1" applyAlignment="1">
      <alignment vertical="center"/>
    </xf>
    <xf numFmtId="0" fontId="2" fillId="0" borderId="2" xfId="0" applyFont="1" applyBorder="1"/>
    <xf numFmtId="165" fontId="0" fillId="0" borderId="2" xfId="0" applyNumberFormat="1" applyBorder="1"/>
    <xf numFmtId="0" fontId="2" fillId="0" borderId="12" xfId="0" applyFont="1" applyBorder="1"/>
    <xf numFmtId="0" fontId="2" fillId="0" borderId="0" xfId="0" applyFont="1" applyAlignment="1">
      <alignment vertical="center"/>
    </xf>
    <xf numFmtId="0" fontId="3" fillId="0" borderId="0" xfId="0" applyFont="1"/>
    <xf numFmtId="166" fontId="0" fillId="0" borderId="0" xfId="1" applyNumberFormat="1" applyFont="1"/>
    <xf numFmtId="166" fontId="0" fillId="0" borderId="2" xfId="1" applyNumberFormat="1" applyFont="1" applyBorder="1"/>
    <xf numFmtId="166" fontId="0" fillId="0" borderId="12" xfId="1" applyNumberFormat="1" applyFont="1" applyBorder="1"/>
    <xf numFmtId="0" fontId="2" fillId="0" borderId="15" xfId="0" applyFont="1" applyBorder="1"/>
    <xf numFmtId="166" fontId="0" fillId="0" borderId="15" xfId="1" applyNumberFormat="1" applyFont="1" applyBorder="1"/>
    <xf numFmtId="167" fontId="0" fillId="0" borderId="0" xfId="1" applyNumberFormat="1" applyFont="1"/>
    <xf numFmtId="167" fontId="0" fillId="0" borderId="0" xfId="0" applyNumberFormat="1"/>
    <xf numFmtId="166" fontId="0" fillId="0" borderId="0" xfId="1" applyNumberFormat="1" applyFont="1" applyBorder="1"/>
    <xf numFmtId="0" fontId="2" fillId="0" borderId="2" xfId="0" applyFont="1" applyBorder="1" applyAlignment="1">
      <alignment vertical="center"/>
    </xf>
    <xf numFmtId="0" fontId="2" fillId="0" borderId="12" xfId="0" applyFont="1" applyBorder="1" applyAlignment="1">
      <alignment vertical="center"/>
    </xf>
    <xf numFmtId="0" fontId="4" fillId="0" borderId="0" xfId="0" applyFont="1"/>
    <xf numFmtId="167" fontId="0" fillId="0" borderId="0" xfId="1" applyNumberFormat="1" applyFont="1" applyBorder="1"/>
    <xf numFmtId="0" fontId="2" fillId="2" borderId="0" xfId="0" applyFont="1" applyFill="1"/>
    <xf numFmtId="165" fontId="0" fillId="0" borderId="0" xfId="0" applyNumberFormat="1"/>
    <xf numFmtId="0" fontId="0" fillId="0" borderId="0" xfId="0" pivotButton="1"/>
    <xf numFmtId="3" fontId="0" fillId="0" borderId="0" xfId="0" applyNumberFormat="1"/>
    <xf numFmtId="37" fontId="0" fillId="0" borderId="0" xfId="0" applyNumberFormat="1"/>
    <xf numFmtId="0" fontId="0" fillId="0" borderId="16" xfId="0" applyBorder="1"/>
    <xf numFmtId="0" fontId="0" fillId="0" borderId="12" xfId="0" applyBorder="1"/>
    <xf numFmtId="0" fontId="0" fillId="0" borderId="0" xfId="0" applyAlignment="1">
      <alignment horizontal="left"/>
    </xf>
    <xf numFmtId="0" fontId="2" fillId="0" borderId="14" xfId="0" applyFont="1" applyBorder="1" applyAlignment="1">
      <alignment horizontal="center" vertical="top"/>
    </xf>
    <xf numFmtId="2" fontId="2" fillId="0" borderId="14" xfId="0" applyNumberFormat="1" applyFont="1" applyBorder="1" applyAlignment="1">
      <alignment horizontal="center" vertical="top"/>
    </xf>
    <xf numFmtId="10" fontId="0" fillId="0" borderId="0" xfId="0" applyNumberFormat="1"/>
    <xf numFmtId="168" fontId="0" fillId="0" borderId="0" xfId="0" applyNumberFormat="1"/>
    <xf numFmtId="169" fontId="0" fillId="0" borderId="0" xfId="0" applyNumberFormat="1"/>
    <xf numFmtId="168" fontId="0" fillId="0" borderId="17" xfId="0" applyNumberFormat="1" applyBorder="1"/>
    <xf numFmtId="0" fontId="0" fillId="0" borderId="17" xfId="0" applyBorder="1"/>
    <xf numFmtId="168" fontId="0" fillId="0" borderId="15" xfId="0" applyNumberFormat="1" applyBorder="1"/>
    <xf numFmtId="0" fontId="0" fillId="0" borderId="15" xfId="0" applyBorder="1"/>
    <xf numFmtId="169" fontId="0" fillId="0" borderId="17" xfId="0" applyNumberFormat="1" applyBorder="1"/>
    <xf numFmtId="170" fontId="0" fillId="0" borderId="0" xfId="0" applyNumberFormat="1"/>
    <xf numFmtId="2" fontId="0" fillId="0" borderId="0" xfId="0" applyNumberFormat="1"/>
    <xf numFmtId="0" fontId="0" fillId="0" borderId="0" xfId="2" applyNumberFormat="1" applyFont="1"/>
    <xf numFmtId="0" fontId="2" fillId="0" borderId="0" xfId="0" applyFont="1" applyAlignment="1">
      <alignment horizontal="center" vertical="center" wrapText="1"/>
    </xf>
    <xf numFmtId="0" fontId="0" fillId="0" borderId="0" xfId="0" applyAlignment="1">
      <alignment vertical="center" wrapText="1"/>
    </xf>
    <xf numFmtId="2" fontId="0" fillId="0" borderId="0" xfId="0" applyNumberFormat="1" applyAlignment="1">
      <alignment vertical="center" wrapText="1"/>
    </xf>
    <xf numFmtId="171" fontId="0" fillId="3" borderId="0" xfId="0" applyNumberFormat="1" applyFill="1"/>
    <xf numFmtId="0" fontId="0" fillId="3" borderId="0" xfId="0" applyFill="1"/>
    <xf numFmtId="10" fontId="0" fillId="3" borderId="0" xfId="0" applyNumberFormat="1" applyFill="1"/>
    <xf numFmtId="174" fontId="0" fillId="3" borderId="0" xfId="0" applyNumberFormat="1" applyFill="1"/>
    <xf numFmtId="0" fontId="2" fillId="0" borderId="0" xfId="0" applyFont="1" applyAlignment="1">
      <alignment horizontal="center"/>
    </xf>
    <xf numFmtId="0" fontId="0" fillId="3" borderId="0" xfId="0" applyFill="1" applyAlignment="1">
      <alignment horizontal="left"/>
    </xf>
    <xf numFmtId="0" fontId="2" fillId="3" borderId="0" xfId="0" applyFont="1" applyFill="1"/>
    <xf numFmtId="0" fontId="0" fillId="3" borderId="0" xfId="0" applyFill="1" applyAlignment="1">
      <alignment horizontal="left" vertical="top"/>
    </xf>
    <xf numFmtId="0" fontId="0" fillId="3" borderId="0" xfId="0" applyFill="1" applyAlignment="1">
      <alignment wrapText="1"/>
    </xf>
    <xf numFmtId="0" fontId="0" fillId="3" borderId="18" xfId="0" applyFill="1" applyBorder="1" applyAlignment="1">
      <alignment horizontal="center"/>
    </xf>
    <xf numFmtId="0" fontId="0" fillId="3" borderId="18" xfId="0" applyFill="1" applyBorder="1"/>
    <xf numFmtId="0" fontId="0" fillId="3" borderId="18" xfId="2" applyNumberFormat="1" applyFont="1" applyFill="1" applyBorder="1"/>
    <xf numFmtId="0" fontId="0" fillId="3" borderId="0" xfId="2" applyNumberFormat="1" applyFont="1" applyFill="1"/>
    <xf numFmtId="170" fontId="0" fillId="3" borderId="0" xfId="0" applyNumberFormat="1" applyFill="1"/>
    <xf numFmtId="172" fontId="0" fillId="3" borderId="0" xfId="0" applyNumberFormat="1" applyFill="1"/>
    <xf numFmtId="0" fontId="0" fillId="0" borderId="2" xfId="0" applyBorder="1" applyAlignment="1">
      <alignment horizontal="center" vertical="center"/>
    </xf>
    <xf numFmtId="0" fontId="0" fillId="0" borderId="0" xfId="0" applyAlignment="1">
      <alignment horizontal="left" vertical="top"/>
    </xf>
    <xf numFmtId="0" fontId="0" fillId="0" borderId="5" xfId="0" applyBorder="1" applyAlignment="1">
      <alignment horizontal="center" vertical="center"/>
    </xf>
    <xf numFmtId="0" fontId="0" fillId="0" borderId="4" xfId="0" applyBorder="1"/>
    <xf numFmtId="0" fontId="0" fillId="0" borderId="4" xfId="0" applyBorder="1" applyAlignment="1">
      <alignment wrapText="1"/>
    </xf>
    <xf numFmtId="0" fontId="0" fillId="4" borderId="0" xfId="0" applyFill="1"/>
    <xf numFmtId="3" fontId="0" fillId="4" borderId="0" xfId="0" applyNumberFormat="1" applyFill="1"/>
    <xf numFmtId="0" fontId="6" fillId="4" borderId="0" xfId="0" applyFont="1" applyFill="1"/>
    <xf numFmtId="0" fontId="7" fillId="5" borderId="0" xfId="0" applyFont="1" applyFill="1"/>
    <xf numFmtId="0" fontId="7" fillId="4" borderId="0" xfId="0" applyFont="1" applyFill="1"/>
    <xf numFmtId="0" fontId="7" fillId="6" borderId="0" xfId="0" applyFont="1" applyFill="1"/>
    <xf numFmtId="173" fontId="7" fillId="6" borderId="0" xfId="0" applyNumberFormat="1" applyFont="1" applyFill="1"/>
    <xf numFmtId="0" fontId="2" fillId="0" borderId="0" xfId="0" applyFont="1" applyAlignment="1">
      <alignment horizontal="center"/>
    </xf>
    <xf numFmtId="0" fontId="0" fillId="0" borderId="0" xfId="0" applyAlignment="1">
      <alignment horizontal="center" vertical="center"/>
    </xf>
  </cellXfs>
  <cellStyles count="3">
    <cellStyle name="Comma" xfId="1" builtinId="3"/>
    <cellStyle name="Normal" xfId="0" builtinId="0"/>
    <cellStyle name="Percent" xfId="2" builtinId="5"/>
  </cellStyles>
  <dxfs count="116">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numFmt numFmtId="0" formatCode="General"/>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4"/>
        </patternFill>
      </fill>
    </dxf>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numFmt numFmtId="0" formatCode="General"/>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0"/>
        </patternFill>
      </fill>
    </dxf>
    <dxf>
      <font>
        <strike val="0"/>
        <outline val="0"/>
        <shadow val="0"/>
        <u val="none"/>
        <vertAlign val="baseline"/>
        <sz val="20"/>
        <color theme="1"/>
        <name val="Aptos Narrow"/>
        <family val="2"/>
        <scheme val="minor"/>
      </font>
      <fill>
        <patternFill patternType="solid">
          <fgColor indexed="64"/>
          <bgColor theme="4"/>
        </patternFill>
      </fill>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ont>
        <b/>
        <i val="0"/>
        <strike val="0"/>
        <condense val="0"/>
        <extend val="0"/>
        <outline val="0"/>
        <shadow val="0"/>
        <u val="none"/>
        <vertAlign val="baseline"/>
        <sz val="11"/>
        <color theme="1"/>
        <name val="Aptos Narrow"/>
        <family val="2"/>
        <scheme val="minor"/>
      </font>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fill>
        <patternFill patternType="solid">
          <fgColor indexed="64"/>
          <bgColor theme="0" tint="-0.34998626667073579"/>
        </patternFill>
      </fill>
    </dxf>
    <dxf>
      <numFmt numFmtId="14" formatCode="0.00%"/>
    </dxf>
    <dxf>
      <numFmt numFmtId="14" formatCode="0.00%"/>
    </dxf>
    <dxf>
      <numFmt numFmtId="170" formatCode="0.0%"/>
    </dxf>
    <dxf>
      <numFmt numFmtId="172" formatCode="[$$-C09]#,##0.00"/>
    </dxf>
    <dxf>
      <numFmt numFmtId="172" formatCode="[$$-C09]#,##0.00"/>
    </dxf>
    <dxf>
      <numFmt numFmtId="172" formatCode="[$$-C09]#,##0.00"/>
    </dxf>
    <dxf>
      <numFmt numFmtId="174" formatCode="0.0"/>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171" formatCode="[$$-C09]#,##0.00;[Red][$$-C09]#,##0.00"/>
    </dxf>
    <dxf>
      <numFmt numFmtId="171" formatCode="[$$-C09]#,##0.00;[Red][$$-C09]#,##0.00"/>
    </dxf>
    <dxf>
      <numFmt numFmtId="171" formatCode="[$$-C09]#,##0.00;[Red][$$-C09]#,##0.00"/>
    </dxf>
    <dxf>
      <numFmt numFmtId="171" formatCode="[$$-C09]#,##0.00;[Red][$$-C09]#,##0.00"/>
    </dxf>
    <dxf>
      <numFmt numFmtId="14" formatCode="0.00%"/>
    </dxf>
    <dxf>
      <numFmt numFmtId="170" formatCode="0.0%"/>
    </dxf>
    <dxf>
      <numFmt numFmtId="174" formatCode="0.0"/>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numFmt numFmtId="14" formatCode="0.00%"/>
    </dxf>
    <dxf>
      <numFmt numFmtId="14" formatCode="0.00%"/>
    </dxf>
    <dxf>
      <numFmt numFmtId="14" formatCode="0.00%"/>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8.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6.xml"/><Relationship Id="rId28"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Dashboard'!$AB$5:$AB$6</c:f>
              <c:strCache>
                <c:ptCount val="1"/>
                <c:pt idx="0">
                  <c:v>EBIT Margin</c:v>
                </c:pt>
              </c:strCache>
            </c:strRef>
          </c:tx>
          <c:spPr>
            <a:solidFill>
              <a:schemeClr val="accent1"/>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Dashboard'!$AB$7:$AB$10</c:f>
              <c:numCache>
                <c:formatCode>0.00%</c:formatCode>
                <c:ptCount val="4"/>
                <c:pt idx="0">
                  <c:v>4.5703839999999996E-2</c:v>
                </c:pt>
                <c:pt idx="1">
                  <c:v>0.20194382999999999</c:v>
                </c:pt>
                <c:pt idx="2">
                  <c:v>0.14062634000000002</c:v>
                </c:pt>
                <c:pt idx="3">
                  <c:v>6.9042549999999994E-2</c:v>
                </c:pt>
              </c:numCache>
            </c:numRef>
          </c:val>
          <c:extLst>
            <c:ext xmlns:c16="http://schemas.microsoft.com/office/drawing/2014/chart" uri="{C3380CC4-5D6E-409C-BE32-E72D297353CC}">
              <c16:uniqueId val="{0000000B-D144-9A49-A1F8-7296FD1EE1BF}"/>
            </c:ext>
          </c:extLst>
        </c:ser>
        <c:ser>
          <c:idx val="1"/>
          <c:order val="1"/>
          <c:tx>
            <c:strRef>
              <c:f>'Profitability Dashboard'!$AC$5:$AC$6</c:f>
              <c:strCache>
                <c:ptCount val="1"/>
                <c:pt idx="0">
                  <c:v>Net Profit Margin</c:v>
                </c:pt>
              </c:strCache>
            </c:strRef>
          </c:tx>
          <c:spPr>
            <a:solidFill>
              <a:schemeClr val="accent2"/>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Dashboard'!$AC$7:$AC$10</c:f>
              <c:numCache>
                <c:formatCode>0.00%</c:formatCode>
                <c:ptCount val="4"/>
                <c:pt idx="0">
                  <c:v>2.9121320000000003E-2</c:v>
                </c:pt>
                <c:pt idx="1">
                  <c:v>0.12066398</c:v>
                </c:pt>
                <c:pt idx="2">
                  <c:v>0.10239045000000001</c:v>
                </c:pt>
                <c:pt idx="3">
                  <c:v>2.8024819999999999E-2</c:v>
                </c:pt>
              </c:numCache>
            </c:numRef>
          </c:val>
          <c:extLst>
            <c:ext xmlns:c16="http://schemas.microsoft.com/office/drawing/2014/chart" uri="{C3380CC4-5D6E-409C-BE32-E72D297353CC}">
              <c16:uniqueId val="{00000004-A090-4467-ABE9-EBCC2F64D56B}"/>
            </c:ext>
          </c:extLst>
        </c:ser>
        <c:ser>
          <c:idx val="2"/>
          <c:order val="2"/>
          <c:tx>
            <c:strRef>
              <c:f>'Profitability Dashboard'!$AD$5:$AD$6</c:f>
              <c:strCache>
                <c:ptCount val="1"/>
                <c:pt idx="0">
                  <c:v>ROA</c:v>
                </c:pt>
              </c:strCache>
            </c:strRef>
          </c:tx>
          <c:spPr>
            <a:solidFill>
              <a:schemeClr val="accent3"/>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Dashboard'!$AD$7:$AD$10</c:f>
              <c:numCache>
                <c:formatCode>0.00%</c:formatCode>
                <c:ptCount val="4"/>
                <c:pt idx="0">
                  <c:v>6.7736840000000006E-2</c:v>
                </c:pt>
                <c:pt idx="1">
                  <c:v>0.24177561999999997</c:v>
                </c:pt>
                <c:pt idx="2">
                  <c:v>0.19802186999999999</c:v>
                </c:pt>
                <c:pt idx="3">
                  <c:v>4.8633209999999996E-2</c:v>
                </c:pt>
              </c:numCache>
            </c:numRef>
          </c:val>
          <c:extLst>
            <c:ext xmlns:c16="http://schemas.microsoft.com/office/drawing/2014/chart" uri="{C3380CC4-5D6E-409C-BE32-E72D297353CC}">
              <c16:uniqueId val="{00000000-DE22-449F-9C51-C432B2288C56}"/>
            </c:ext>
          </c:extLst>
        </c:ser>
        <c:ser>
          <c:idx val="3"/>
          <c:order val="3"/>
          <c:tx>
            <c:strRef>
              <c:f>'Profitability Dashboard'!$AE$5:$AE$6</c:f>
              <c:strCache>
                <c:ptCount val="1"/>
                <c:pt idx="0">
                  <c:v>ROE</c:v>
                </c:pt>
              </c:strCache>
            </c:strRef>
          </c:tx>
          <c:spPr>
            <a:solidFill>
              <a:schemeClr val="accent4"/>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Dashboard'!$AE$7:$AE$10</c:f>
              <c:numCache>
                <c:formatCode>0.00%</c:formatCode>
                <c:ptCount val="4"/>
                <c:pt idx="0">
                  <c:v>0.11289474000000001</c:v>
                </c:pt>
                <c:pt idx="1">
                  <c:v>0.40295940000000002</c:v>
                </c:pt>
                <c:pt idx="2">
                  <c:v>0.77070050000000001</c:v>
                </c:pt>
                <c:pt idx="3">
                  <c:v>0.13163979000000001</c:v>
                </c:pt>
              </c:numCache>
            </c:numRef>
          </c:val>
          <c:extLst>
            <c:ext xmlns:c16="http://schemas.microsoft.com/office/drawing/2014/chart" uri="{C3380CC4-5D6E-409C-BE32-E72D297353CC}">
              <c16:uniqueId val="{00000001-DE22-449F-9C51-C432B2288C56}"/>
            </c:ext>
          </c:extLst>
        </c:ser>
        <c:dLbls>
          <c:showLegendKey val="0"/>
          <c:showVal val="0"/>
          <c:showCatName val="0"/>
          <c:showSerName val="0"/>
          <c:showPercent val="0"/>
          <c:showBubbleSize val="0"/>
        </c:dLbls>
        <c:gapWidth val="219"/>
        <c:overlap val="-27"/>
        <c:axId val="1884957200"/>
        <c:axId val="731163151"/>
      </c:barChart>
      <c:catAx>
        <c:axId val="18849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63151"/>
        <c:crosses val="autoZero"/>
        <c:auto val="1"/>
        <c:lblAlgn val="ctr"/>
        <c:lblOffset val="100"/>
        <c:noMultiLvlLbl val="0"/>
      </c:catAx>
      <c:valAx>
        <c:axId val="731163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2</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'Profitability Dashboard'!$AB$14:$AB$15</c:f>
              <c:strCache>
                <c:ptCount val="1"/>
                <c:pt idx="0">
                  <c:v>Big W</c:v>
                </c:pt>
              </c:strCache>
            </c:strRef>
          </c:tx>
          <c:spPr>
            <a:ln w="28575" cap="rnd">
              <a:solidFill>
                <a:schemeClr val="accent1"/>
              </a:solidFill>
              <a:round/>
            </a:ln>
            <a:effectLst/>
          </c:spPr>
          <c:marker>
            <c:symbol val="none"/>
          </c:marker>
          <c:cat>
            <c:strRef>
              <c:f>'Profitability Dashboard'!$AA$16:$AA$18</c:f>
              <c:strCache>
                <c:ptCount val="3"/>
                <c:pt idx="0">
                  <c:v>2022</c:v>
                </c:pt>
                <c:pt idx="1">
                  <c:v>2023</c:v>
                </c:pt>
                <c:pt idx="2">
                  <c:v>2024</c:v>
                </c:pt>
              </c:strCache>
            </c:strRef>
          </c:cat>
          <c:val>
            <c:numRef>
              <c:f>'Profitability Dashboard'!$AB$16:$AB$18</c:f>
              <c:numCache>
                <c:formatCode>0.00%</c:formatCode>
                <c:ptCount val="3"/>
                <c:pt idx="0">
                  <c:v>0.13290304</c:v>
                </c:pt>
                <c:pt idx="1">
                  <c:v>0.10699853000000001</c:v>
                </c:pt>
                <c:pt idx="2">
                  <c:v>1.555517E-2</c:v>
                </c:pt>
              </c:numCache>
            </c:numRef>
          </c:val>
          <c:smooth val="0"/>
          <c:extLst>
            <c:ext xmlns:c16="http://schemas.microsoft.com/office/drawing/2014/chart" uri="{C3380CC4-5D6E-409C-BE32-E72D297353CC}">
              <c16:uniqueId val="{0000000F-E307-9B49-BCB3-B02A3D637F4E}"/>
            </c:ext>
          </c:extLst>
        </c:ser>
        <c:ser>
          <c:idx val="1"/>
          <c:order val="1"/>
          <c:tx>
            <c:strRef>
              <c:f>'Profitability Dashboard'!$AC$14:$AC$15</c:f>
              <c:strCache>
                <c:ptCount val="1"/>
                <c:pt idx="0">
                  <c:v>KMART</c:v>
                </c:pt>
              </c:strCache>
            </c:strRef>
          </c:tx>
          <c:spPr>
            <a:ln w="28575" cap="rnd">
              <a:solidFill>
                <a:schemeClr val="accent2"/>
              </a:solidFill>
              <a:round/>
            </a:ln>
            <a:effectLst/>
          </c:spPr>
          <c:marker>
            <c:symbol val="none"/>
          </c:marker>
          <c:cat>
            <c:strRef>
              <c:f>'Profitability Dashboard'!$AA$16:$AA$18</c:f>
              <c:strCache>
                <c:ptCount val="3"/>
                <c:pt idx="0">
                  <c:v>2022</c:v>
                </c:pt>
                <c:pt idx="1">
                  <c:v>2023</c:v>
                </c:pt>
                <c:pt idx="2">
                  <c:v>2024</c:v>
                </c:pt>
              </c:strCache>
            </c:strRef>
          </c:cat>
          <c:val>
            <c:numRef>
              <c:f>'Profitability Dashboard'!$AC$16:$AC$18</c:f>
              <c:numCache>
                <c:formatCode>0.00%</c:formatCode>
                <c:ptCount val="3"/>
                <c:pt idx="0">
                  <c:v>0.23473146</c:v>
                </c:pt>
                <c:pt idx="1">
                  <c:v>0.32493168</c:v>
                </c:pt>
                <c:pt idx="2">
                  <c:v>0.40767969000000004</c:v>
                </c:pt>
              </c:numCache>
            </c:numRef>
          </c:val>
          <c:smooth val="0"/>
          <c:extLst>
            <c:ext xmlns:c16="http://schemas.microsoft.com/office/drawing/2014/chart" uri="{C3380CC4-5D6E-409C-BE32-E72D297353CC}">
              <c16:uniqueId val="{00000001-8724-4D7F-8C2D-1D76EF884949}"/>
            </c:ext>
          </c:extLst>
        </c:ser>
        <c:ser>
          <c:idx val="2"/>
          <c:order val="2"/>
          <c:tx>
            <c:strRef>
              <c:f>'Profitability Dashboard'!$AD$14:$AD$15</c:f>
              <c:strCache>
                <c:ptCount val="1"/>
                <c:pt idx="0">
                  <c:v>Target</c:v>
                </c:pt>
              </c:strCache>
            </c:strRef>
          </c:tx>
          <c:spPr>
            <a:ln w="28575" cap="rnd">
              <a:solidFill>
                <a:schemeClr val="accent3"/>
              </a:solidFill>
              <a:round/>
            </a:ln>
            <a:effectLst/>
          </c:spPr>
          <c:marker>
            <c:symbol val="none"/>
          </c:marker>
          <c:cat>
            <c:strRef>
              <c:f>'Profitability Dashboard'!$AA$16:$AA$18</c:f>
              <c:strCache>
                <c:ptCount val="3"/>
                <c:pt idx="0">
                  <c:v>2022</c:v>
                </c:pt>
                <c:pt idx="1">
                  <c:v>2023</c:v>
                </c:pt>
                <c:pt idx="2">
                  <c:v>2024</c:v>
                </c:pt>
              </c:strCache>
            </c:strRef>
          </c:cat>
          <c:val>
            <c:numRef>
              <c:f>'Profitability Dashboard'!$AD$16:$AD$18</c:f>
              <c:numCache>
                <c:formatCode>0.00%</c:formatCode>
                <c:ptCount val="3"/>
                <c:pt idx="0">
                  <c:v>0.32379940000000001</c:v>
                </c:pt>
                <c:pt idx="1">
                  <c:v>0.45377003999999999</c:v>
                </c:pt>
                <c:pt idx="2">
                  <c:v>0.43416972000000004</c:v>
                </c:pt>
              </c:numCache>
            </c:numRef>
          </c:val>
          <c:smooth val="0"/>
          <c:extLst>
            <c:ext xmlns:c16="http://schemas.microsoft.com/office/drawing/2014/chart" uri="{C3380CC4-5D6E-409C-BE32-E72D297353CC}">
              <c16:uniqueId val="{00000002-8724-4D7F-8C2D-1D76EF884949}"/>
            </c:ext>
          </c:extLst>
        </c:ser>
        <c:ser>
          <c:idx val="3"/>
          <c:order val="3"/>
          <c:tx>
            <c:strRef>
              <c:f>'Profitability Dashboard'!$AE$14:$AE$15</c:f>
              <c:strCache>
                <c:ptCount val="1"/>
                <c:pt idx="0">
                  <c:v>The Reject Shop</c:v>
                </c:pt>
              </c:strCache>
            </c:strRef>
          </c:tx>
          <c:spPr>
            <a:ln w="28575" cap="rnd">
              <a:solidFill>
                <a:schemeClr val="accent4"/>
              </a:solidFill>
              <a:round/>
            </a:ln>
            <a:effectLst/>
          </c:spPr>
          <c:marker>
            <c:symbol val="none"/>
          </c:marker>
          <c:cat>
            <c:strRef>
              <c:f>'Profitability Dashboard'!$AA$16:$AA$18</c:f>
              <c:strCache>
                <c:ptCount val="3"/>
                <c:pt idx="0">
                  <c:v>2022</c:v>
                </c:pt>
                <c:pt idx="1">
                  <c:v>2023</c:v>
                </c:pt>
                <c:pt idx="2">
                  <c:v>2024</c:v>
                </c:pt>
              </c:strCache>
            </c:strRef>
          </c:cat>
          <c:val>
            <c:numRef>
              <c:f>'Profitability Dashboard'!$AE$16:$AE$18</c:f>
              <c:numCache>
                <c:formatCode>0.00%</c:formatCode>
                <c:ptCount val="3"/>
                <c:pt idx="0">
                  <c:v>9.7924280000000002E-2</c:v>
                </c:pt>
                <c:pt idx="1">
                  <c:v>0.11856583</c:v>
                </c:pt>
                <c:pt idx="2">
                  <c:v>6.0850260000000003E-2</c:v>
                </c:pt>
              </c:numCache>
            </c:numRef>
          </c:val>
          <c:smooth val="0"/>
          <c:extLst>
            <c:ext xmlns:c16="http://schemas.microsoft.com/office/drawing/2014/chart" uri="{C3380CC4-5D6E-409C-BE32-E72D297353CC}">
              <c16:uniqueId val="{00000003-8724-4D7F-8C2D-1D76EF884949}"/>
            </c:ext>
          </c:extLst>
        </c:ser>
        <c:dLbls>
          <c:showLegendKey val="0"/>
          <c:showVal val="0"/>
          <c:showCatName val="0"/>
          <c:showSerName val="0"/>
          <c:showPercent val="0"/>
          <c:showBubbleSize val="0"/>
        </c:dLbls>
        <c:smooth val="0"/>
        <c:axId val="771141952"/>
        <c:axId val="745090144"/>
      </c:lineChart>
      <c:catAx>
        <c:axId val="77114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090144"/>
        <c:crosses val="autoZero"/>
        <c:auto val="1"/>
        <c:lblAlgn val="ctr"/>
        <c:lblOffset val="100"/>
        <c:noMultiLvlLbl val="0"/>
      </c:catAx>
      <c:valAx>
        <c:axId val="745090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'Profitability Dashboard'!$AB$30:$AB$31</c:f>
              <c:strCache>
                <c:ptCount val="1"/>
                <c:pt idx="0">
                  <c:v>Big W</c:v>
                </c:pt>
              </c:strCache>
            </c:strRef>
          </c:tx>
          <c:spPr>
            <a:solidFill>
              <a:schemeClr val="accent1"/>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Dashboard'!$AB$32:$AB$35</c:f>
              <c:numCache>
                <c:formatCode>0.00%</c:formatCode>
                <c:ptCount val="4"/>
                <c:pt idx="0">
                  <c:v>4.5703839999999996E-2</c:v>
                </c:pt>
                <c:pt idx="1">
                  <c:v>2.9121320000000003E-2</c:v>
                </c:pt>
                <c:pt idx="2">
                  <c:v>6.7736840000000006E-2</c:v>
                </c:pt>
                <c:pt idx="3">
                  <c:v>0.11289474000000001</c:v>
                </c:pt>
              </c:numCache>
            </c:numRef>
          </c:val>
          <c:extLst>
            <c:ext xmlns:c16="http://schemas.microsoft.com/office/drawing/2014/chart" uri="{C3380CC4-5D6E-409C-BE32-E72D297353CC}">
              <c16:uniqueId val="{00000000-ED45-4E53-BE7C-88A9E8B4B46B}"/>
            </c:ext>
          </c:extLst>
        </c:ser>
        <c:ser>
          <c:idx val="1"/>
          <c:order val="1"/>
          <c:tx>
            <c:strRef>
              <c:f>'Profitability Dashboard'!$AC$30:$AC$31</c:f>
              <c:strCache>
                <c:ptCount val="1"/>
                <c:pt idx="0">
                  <c:v>KMART</c:v>
                </c:pt>
              </c:strCache>
            </c:strRef>
          </c:tx>
          <c:spPr>
            <a:solidFill>
              <a:schemeClr val="accent2"/>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Dashboard'!$AC$32:$AC$35</c:f>
              <c:numCache>
                <c:formatCode>0.00%</c:formatCode>
                <c:ptCount val="4"/>
                <c:pt idx="0">
                  <c:v>0.20194382999999999</c:v>
                </c:pt>
                <c:pt idx="1">
                  <c:v>0.12066398</c:v>
                </c:pt>
                <c:pt idx="2">
                  <c:v>0.24177561999999997</c:v>
                </c:pt>
                <c:pt idx="3">
                  <c:v>0.40295940000000002</c:v>
                </c:pt>
              </c:numCache>
            </c:numRef>
          </c:val>
          <c:extLst>
            <c:ext xmlns:c16="http://schemas.microsoft.com/office/drawing/2014/chart" uri="{C3380CC4-5D6E-409C-BE32-E72D297353CC}">
              <c16:uniqueId val="{00000004-5A93-464B-8233-7A77DC04D550}"/>
            </c:ext>
          </c:extLst>
        </c:ser>
        <c:ser>
          <c:idx val="2"/>
          <c:order val="2"/>
          <c:tx>
            <c:strRef>
              <c:f>'Profitability Dashboard'!$AD$30:$AD$31</c:f>
              <c:strCache>
                <c:ptCount val="1"/>
                <c:pt idx="0">
                  <c:v>Target</c:v>
                </c:pt>
              </c:strCache>
            </c:strRef>
          </c:tx>
          <c:spPr>
            <a:solidFill>
              <a:schemeClr val="accent3"/>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Dashboard'!$AD$32:$AD$35</c:f>
              <c:numCache>
                <c:formatCode>0.00%</c:formatCode>
                <c:ptCount val="4"/>
                <c:pt idx="0">
                  <c:v>0.14062634000000002</c:v>
                </c:pt>
                <c:pt idx="1">
                  <c:v>0.10239045000000001</c:v>
                </c:pt>
                <c:pt idx="2">
                  <c:v>0.19802186999999999</c:v>
                </c:pt>
                <c:pt idx="3">
                  <c:v>0.77070050000000001</c:v>
                </c:pt>
              </c:numCache>
            </c:numRef>
          </c:val>
          <c:extLst>
            <c:ext xmlns:c16="http://schemas.microsoft.com/office/drawing/2014/chart" uri="{C3380CC4-5D6E-409C-BE32-E72D297353CC}">
              <c16:uniqueId val="{00000005-5A93-464B-8233-7A77DC04D550}"/>
            </c:ext>
          </c:extLst>
        </c:ser>
        <c:ser>
          <c:idx val="3"/>
          <c:order val="3"/>
          <c:tx>
            <c:strRef>
              <c:f>'Profitability Dashboard'!$AE$30:$AE$31</c:f>
              <c:strCache>
                <c:ptCount val="1"/>
                <c:pt idx="0">
                  <c:v>The Reject Shop</c:v>
                </c:pt>
              </c:strCache>
            </c:strRef>
          </c:tx>
          <c:spPr>
            <a:solidFill>
              <a:schemeClr val="accent4"/>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Dashboard'!$AE$32:$AE$35</c:f>
              <c:numCache>
                <c:formatCode>0.00%</c:formatCode>
                <c:ptCount val="4"/>
                <c:pt idx="0">
                  <c:v>6.9042549999999994E-2</c:v>
                </c:pt>
                <c:pt idx="1">
                  <c:v>2.8024819999999999E-2</c:v>
                </c:pt>
                <c:pt idx="2">
                  <c:v>4.8633209999999996E-2</c:v>
                </c:pt>
                <c:pt idx="3">
                  <c:v>0.13163979000000001</c:v>
                </c:pt>
              </c:numCache>
            </c:numRef>
          </c:val>
          <c:extLst>
            <c:ext xmlns:c16="http://schemas.microsoft.com/office/drawing/2014/chart" uri="{C3380CC4-5D6E-409C-BE32-E72D297353CC}">
              <c16:uniqueId val="{00000006-5A93-464B-8233-7A77DC04D550}"/>
            </c:ext>
          </c:extLst>
        </c:ser>
        <c:dLbls>
          <c:showLegendKey val="0"/>
          <c:showVal val="0"/>
          <c:showCatName val="0"/>
          <c:showSerName val="0"/>
          <c:showPercent val="0"/>
          <c:showBubbleSize val="0"/>
        </c:dLbls>
        <c:gapWidth val="219"/>
        <c:overlap val="100"/>
        <c:axId val="1279831488"/>
        <c:axId val="1267701296"/>
      </c:barChart>
      <c:catAx>
        <c:axId val="127983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701296"/>
        <c:crosses val="autoZero"/>
        <c:auto val="1"/>
        <c:lblAlgn val="ctr"/>
        <c:lblOffset val="100"/>
        <c:noMultiLvlLbl val="0"/>
      </c:catAx>
      <c:valAx>
        <c:axId val="1267701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5</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92977377743854"/>
          <c:y val="8.5754415851014398E-2"/>
          <c:w val="0.65712539311039397"/>
          <c:h val="0.84768657554018711"/>
        </c:manualLayout>
      </c:layout>
      <c:radarChart>
        <c:radarStyle val="marker"/>
        <c:varyColors val="0"/>
        <c:ser>
          <c:idx val="0"/>
          <c:order val="0"/>
          <c:tx>
            <c:strRef>
              <c:f>'Profitability Dashboard'!$AB$39:$AB$40</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'Profitability Dashboard'!$AA$41:$AA$44</c:f>
              <c:strCache>
                <c:ptCount val="4"/>
                <c:pt idx="0">
                  <c:v>EBIT Margin</c:v>
                </c:pt>
                <c:pt idx="1">
                  <c:v>Net Profit Margin</c:v>
                </c:pt>
                <c:pt idx="2">
                  <c:v>ROA</c:v>
                </c:pt>
                <c:pt idx="3">
                  <c:v>ROE</c:v>
                </c:pt>
              </c:strCache>
            </c:strRef>
          </c:cat>
          <c:val>
            <c:numRef>
              <c:f>'Profitability Dashboard'!$AB$41:$AB$44</c:f>
              <c:numCache>
                <c:formatCode>0.00%</c:formatCode>
                <c:ptCount val="4"/>
                <c:pt idx="0">
                  <c:v>2.2522449999999999E-2</c:v>
                </c:pt>
                <c:pt idx="1">
                  <c:v>1.0023230000000001E-2</c:v>
                </c:pt>
                <c:pt idx="2">
                  <c:v>1.799512E-2</c:v>
                </c:pt>
                <c:pt idx="3">
                  <c:v>4.7383480000000006E-2</c:v>
                </c:pt>
              </c:numCache>
            </c:numRef>
          </c:val>
          <c:extLst>
            <c:ext xmlns:c16="http://schemas.microsoft.com/office/drawing/2014/chart" uri="{C3380CC4-5D6E-409C-BE32-E72D297353CC}">
              <c16:uniqueId val="{00000000-0CC5-414A-86FC-5F064F92C897}"/>
            </c:ext>
          </c:extLst>
        </c:ser>
        <c:ser>
          <c:idx val="1"/>
          <c:order val="1"/>
          <c:tx>
            <c:strRef>
              <c:f>'Profitability Dashboard'!$AC$39:$AC$40</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'Profitability Dashboard'!$AA$41:$AA$44</c:f>
              <c:strCache>
                <c:ptCount val="4"/>
                <c:pt idx="0">
                  <c:v>EBIT Margin</c:v>
                </c:pt>
                <c:pt idx="1">
                  <c:v>Net Profit Margin</c:v>
                </c:pt>
                <c:pt idx="2">
                  <c:v>ROA</c:v>
                </c:pt>
                <c:pt idx="3">
                  <c:v>ROE</c:v>
                </c:pt>
              </c:strCache>
            </c:strRef>
          </c:cat>
          <c:val>
            <c:numRef>
              <c:f>'Profitability Dashboard'!$AC$41:$AC$44</c:f>
              <c:numCache>
                <c:formatCode>0.00%</c:formatCode>
                <c:ptCount val="4"/>
                <c:pt idx="0">
                  <c:v>2.7478729999999996E-2</c:v>
                </c:pt>
                <c:pt idx="1">
                  <c:v>1.2490879999999999E-2</c:v>
                </c:pt>
                <c:pt idx="2">
                  <c:v>2.1116950000000002E-2</c:v>
                </c:pt>
                <c:pt idx="3">
                  <c:v>5.7479269999999999E-2</c:v>
                </c:pt>
              </c:numCache>
            </c:numRef>
          </c:val>
          <c:extLst>
            <c:ext xmlns:c16="http://schemas.microsoft.com/office/drawing/2014/chart" uri="{C3380CC4-5D6E-409C-BE32-E72D297353CC}">
              <c16:uniqueId val="{00000003-E4ED-4ECD-BDC9-52B0B8FB165D}"/>
            </c:ext>
          </c:extLst>
        </c:ser>
        <c:ser>
          <c:idx val="2"/>
          <c:order val="2"/>
          <c:tx>
            <c:strRef>
              <c:f>'Profitability Dashboard'!$AD$39:$AD$40</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'Profitability Dashboard'!$AA$41:$AA$44</c:f>
              <c:strCache>
                <c:ptCount val="4"/>
                <c:pt idx="0">
                  <c:v>EBIT Margin</c:v>
                </c:pt>
                <c:pt idx="1">
                  <c:v>Net Profit Margin</c:v>
                </c:pt>
                <c:pt idx="2">
                  <c:v>ROA</c:v>
                </c:pt>
                <c:pt idx="3">
                  <c:v>ROE</c:v>
                </c:pt>
              </c:strCache>
            </c:strRef>
          </c:cat>
          <c:val>
            <c:numRef>
              <c:f>'Profitability Dashboard'!$AD$41:$AD$44</c:f>
              <c:numCache>
                <c:formatCode>0.00%</c:formatCode>
                <c:ptCount val="4"/>
                <c:pt idx="0">
                  <c:v>1.9041369999999998E-2</c:v>
                </c:pt>
                <c:pt idx="1">
                  <c:v>5.5107099999999994E-3</c:v>
                </c:pt>
                <c:pt idx="2">
                  <c:v>9.5211400000000009E-3</c:v>
                </c:pt>
                <c:pt idx="3">
                  <c:v>2.6777039999999998E-2</c:v>
                </c:pt>
              </c:numCache>
            </c:numRef>
          </c:val>
          <c:extLst>
            <c:ext xmlns:c16="http://schemas.microsoft.com/office/drawing/2014/chart" uri="{C3380CC4-5D6E-409C-BE32-E72D297353CC}">
              <c16:uniqueId val="{00000004-E4ED-4ECD-BDC9-52B0B8FB165D}"/>
            </c:ext>
          </c:extLst>
        </c:ser>
        <c:dLbls>
          <c:showLegendKey val="0"/>
          <c:showVal val="0"/>
          <c:showCatName val="0"/>
          <c:showSerName val="0"/>
          <c:showPercent val="0"/>
          <c:showBubbleSize val="0"/>
        </c:dLbls>
        <c:axId val="1572332592"/>
        <c:axId val="1730336528"/>
      </c:radarChart>
      <c:catAx>
        <c:axId val="157233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36528"/>
        <c:crosses val="autoZero"/>
        <c:auto val="1"/>
        <c:lblAlgn val="ctr"/>
        <c:lblOffset val="100"/>
        <c:noMultiLvlLbl val="0"/>
      </c:catAx>
      <c:valAx>
        <c:axId val="1730336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32592"/>
        <c:crosses val="autoZero"/>
        <c:crossBetween val="between"/>
      </c:valAx>
      <c:spPr>
        <a:noFill/>
        <a:ln>
          <a:noFill/>
        </a:ln>
        <a:effectLst/>
      </c:spPr>
    </c:plotArea>
    <c:legend>
      <c:legendPos val="r"/>
      <c:layout>
        <c:manualLayout>
          <c:xMode val="edge"/>
          <c:yMode val="edge"/>
          <c:x val="0.84982272423523597"/>
          <c:y val="0.17132631300697451"/>
          <c:w val="0.1194954954954955"/>
          <c:h val="0.2171829396325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 Margin vs ROE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Dashboard'!$AB$22:$AB$23</c:f>
              <c:strCache>
                <c:ptCount val="1"/>
                <c:pt idx="0">
                  <c:v>EBIT Margin</c:v>
                </c:pt>
              </c:strCache>
            </c:strRef>
          </c:tx>
          <c:spPr>
            <a:solidFill>
              <a:schemeClr val="accent1"/>
            </a:solidFill>
            <a:ln>
              <a:noFill/>
            </a:ln>
            <a:effectLst/>
          </c:spPr>
          <c:invertIfNegative val="0"/>
          <c:cat>
            <c:strRef>
              <c:f>'Profitability Dashboard'!$AA$24:$AA$26</c:f>
              <c:strCache>
                <c:ptCount val="3"/>
                <c:pt idx="0">
                  <c:v>2022</c:v>
                </c:pt>
                <c:pt idx="1">
                  <c:v>2023</c:v>
                </c:pt>
                <c:pt idx="2">
                  <c:v>2024</c:v>
                </c:pt>
              </c:strCache>
            </c:strRef>
          </c:cat>
          <c:val>
            <c:numRef>
              <c:f>'Profitability Dashboard'!$AB$24:$AB$26</c:f>
              <c:numCache>
                <c:formatCode>0.00%</c:formatCode>
                <c:ptCount val="3"/>
                <c:pt idx="0">
                  <c:v>0.11358242999999998</c:v>
                </c:pt>
                <c:pt idx="1">
                  <c:v>0.18322205</c:v>
                </c:pt>
                <c:pt idx="2">
                  <c:v>0.16051208</c:v>
                </c:pt>
              </c:numCache>
            </c:numRef>
          </c:val>
          <c:extLst>
            <c:ext xmlns:c16="http://schemas.microsoft.com/office/drawing/2014/chart" uri="{C3380CC4-5D6E-409C-BE32-E72D297353CC}">
              <c16:uniqueId val="{00000000-7D6A-7E43-8020-F216AB4D3E91}"/>
            </c:ext>
          </c:extLst>
        </c:ser>
        <c:dLbls>
          <c:showLegendKey val="0"/>
          <c:showVal val="0"/>
          <c:showCatName val="0"/>
          <c:showSerName val="0"/>
          <c:showPercent val="0"/>
          <c:showBubbleSize val="0"/>
        </c:dLbls>
        <c:gapWidth val="219"/>
        <c:axId val="1266712672"/>
        <c:axId val="1280195120"/>
      </c:barChart>
      <c:lineChart>
        <c:grouping val="standard"/>
        <c:varyColors val="0"/>
        <c:ser>
          <c:idx val="1"/>
          <c:order val="1"/>
          <c:tx>
            <c:strRef>
              <c:f>'Profitability Dashboard'!$AC$22:$AC$23</c:f>
              <c:strCache>
                <c:ptCount val="1"/>
                <c:pt idx="0">
                  <c:v>ROE</c:v>
                </c:pt>
              </c:strCache>
            </c:strRef>
          </c:tx>
          <c:spPr>
            <a:ln w="28575" cap="rnd">
              <a:solidFill>
                <a:schemeClr val="accent2"/>
              </a:solidFill>
              <a:round/>
            </a:ln>
            <a:effectLst/>
          </c:spPr>
          <c:marker>
            <c:symbol val="none"/>
          </c:marker>
          <c:cat>
            <c:strRef>
              <c:f>'Profitability Dashboard'!$AA$24:$AA$26</c:f>
              <c:strCache>
                <c:ptCount val="3"/>
                <c:pt idx="0">
                  <c:v>2022</c:v>
                </c:pt>
                <c:pt idx="1">
                  <c:v>2023</c:v>
                </c:pt>
                <c:pt idx="2">
                  <c:v>2024</c:v>
                </c:pt>
              </c:strCache>
            </c:strRef>
          </c:cat>
          <c:val>
            <c:numRef>
              <c:f>'Profitability Dashboard'!$AC$24:$AC$26</c:f>
              <c:numCache>
                <c:formatCode>0.00%</c:formatCode>
                <c:ptCount val="3"/>
                <c:pt idx="0">
                  <c:v>0.42298958000000003</c:v>
                </c:pt>
                <c:pt idx="1">
                  <c:v>0.51908734000000001</c:v>
                </c:pt>
                <c:pt idx="2">
                  <c:v>0.47611750999999997</c:v>
                </c:pt>
              </c:numCache>
            </c:numRef>
          </c:val>
          <c:smooth val="0"/>
          <c:extLst>
            <c:ext xmlns:c16="http://schemas.microsoft.com/office/drawing/2014/chart" uri="{C3380CC4-5D6E-409C-BE32-E72D297353CC}">
              <c16:uniqueId val="{00000001-7D6A-7E43-8020-F216AB4D3E91}"/>
            </c:ext>
          </c:extLst>
        </c:ser>
        <c:dLbls>
          <c:showLegendKey val="0"/>
          <c:showVal val="0"/>
          <c:showCatName val="0"/>
          <c:showSerName val="0"/>
          <c:showPercent val="0"/>
          <c:showBubbleSize val="0"/>
        </c:dLbls>
        <c:marker val="1"/>
        <c:smooth val="0"/>
        <c:axId val="1266712672"/>
        <c:axId val="1280195120"/>
      </c:lineChart>
      <c:catAx>
        <c:axId val="12667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95120"/>
        <c:crosses val="autoZero"/>
        <c:auto val="1"/>
        <c:lblAlgn val="ctr"/>
        <c:lblOffset val="100"/>
        <c:noMultiLvlLbl val="0"/>
      </c:catAx>
      <c:valAx>
        <c:axId val="1280195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'Liquidity Dashboard'!$B$4</c:f>
              <c:strCache>
                <c:ptCount val="1"/>
                <c:pt idx="0">
                  <c:v>Current Ratio </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'Liquidity Dashboard'!$C$3:$E$3</c:f>
              <c:strCache>
                <c:ptCount val="3"/>
                <c:pt idx="0">
                  <c:v>2022</c:v>
                </c:pt>
                <c:pt idx="1">
                  <c:v>2023</c:v>
                </c:pt>
                <c:pt idx="2">
                  <c:v>2024</c:v>
                </c:pt>
              </c:strCache>
            </c:strRef>
          </c:cat>
          <c:val>
            <c:numRef>
              <c:f>'Liquidity Dashboard'!$C$4:$E$4</c:f>
              <c:numCache>
                <c:formatCode>General</c:formatCode>
                <c:ptCount val="3"/>
                <c:pt idx="0">
                  <c:v>1.3401719783908193</c:v>
                </c:pt>
                <c:pt idx="1">
                  <c:v>1.3115588834339937</c:v>
                </c:pt>
                <c:pt idx="2">
                  <c:v>1.2581318511656632</c:v>
                </c:pt>
              </c:numCache>
            </c:numRef>
          </c:val>
          <c:smooth val="0"/>
          <c:extLst>
            <c:ext xmlns:c16="http://schemas.microsoft.com/office/drawing/2014/chart" uri="{C3380CC4-5D6E-409C-BE32-E72D297353CC}">
              <c16:uniqueId val="{00000000-146F-4A39-9FF6-BBE38B6E6391}"/>
            </c:ext>
          </c:extLst>
        </c:ser>
        <c:ser>
          <c:idx val="1"/>
          <c:order val="1"/>
          <c:tx>
            <c:strRef>
              <c:f>'Liquidity Dashboard'!$B$5</c:f>
              <c:strCache>
                <c:ptCount val="1"/>
                <c:pt idx="0">
                  <c:v>Quick Ratio </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'Liquidity Dashboard'!$C$3:$E$3</c:f>
              <c:strCache>
                <c:ptCount val="3"/>
                <c:pt idx="0">
                  <c:v>2022</c:v>
                </c:pt>
                <c:pt idx="1">
                  <c:v>2023</c:v>
                </c:pt>
                <c:pt idx="2">
                  <c:v>2024</c:v>
                </c:pt>
              </c:strCache>
            </c:strRef>
          </c:cat>
          <c:val>
            <c:numRef>
              <c:f>'Liquidity Dashboard'!$C$5:$E$5</c:f>
              <c:numCache>
                <c:formatCode>General</c:formatCode>
                <c:ptCount val="3"/>
                <c:pt idx="0">
                  <c:v>0.61764536649298341</c:v>
                </c:pt>
                <c:pt idx="1">
                  <c:v>0.51363331331897011</c:v>
                </c:pt>
                <c:pt idx="2">
                  <c:v>0.35372549019607841</c:v>
                </c:pt>
              </c:numCache>
            </c:numRef>
          </c:val>
          <c:smooth val="0"/>
          <c:extLst>
            <c:ext xmlns:c16="http://schemas.microsoft.com/office/drawing/2014/chart" uri="{C3380CC4-5D6E-409C-BE32-E72D297353CC}">
              <c16:uniqueId val="{00000002-146F-4A39-9FF6-BBE38B6E6391}"/>
            </c:ext>
          </c:extLst>
        </c:ser>
        <c:ser>
          <c:idx val="2"/>
          <c:order val="2"/>
          <c:tx>
            <c:strRef>
              <c:f>'Liquidity Dashboard'!$B$6</c:f>
              <c:strCache>
                <c:ptCount val="1"/>
                <c:pt idx="0">
                  <c:v>Cash Flow Liquidity Ratio </c:v>
                </c:pt>
              </c:strCache>
            </c:strRef>
          </c:tx>
          <c:spPr>
            <a:ln w="28575" cap="rnd">
              <a:solidFill>
                <a:srgbClr val="2AA0A4"/>
              </a:solidFill>
              <a:round/>
            </a:ln>
            <a:effectLst/>
          </c:spPr>
          <c:marker>
            <c:symbol val="circle"/>
            <c:size val="5"/>
            <c:spPr>
              <a:solidFill>
                <a:srgbClr val="2AA0A4"/>
              </a:solidFill>
              <a:ln w="9525">
                <a:solidFill>
                  <a:srgbClr val="2AA0A4"/>
                </a:solidFill>
              </a:ln>
              <a:effectLst/>
            </c:spPr>
          </c:marker>
          <c:cat>
            <c:strRef>
              <c:f>'Liquidity Dashboard'!$C$3:$E$3</c:f>
              <c:strCache>
                <c:ptCount val="3"/>
                <c:pt idx="0">
                  <c:v>2022</c:v>
                </c:pt>
                <c:pt idx="1">
                  <c:v>2023</c:v>
                </c:pt>
                <c:pt idx="2">
                  <c:v>2024</c:v>
                </c:pt>
              </c:strCache>
            </c:strRef>
          </c:cat>
          <c:val>
            <c:numRef>
              <c:f>'Liquidity Dashboard'!$C$6:$E$6</c:f>
              <c:numCache>
                <c:formatCode>General</c:formatCode>
                <c:ptCount val="3"/>
                <c:pt idx="0">
                  <c:v>0.74251190742575834</c:v>
                </c:pt>
                <c:pt idx="1">
                  <c:v>0.65352782585149338</c:v>
                </c:pt>
                <c:pt idx="2">
                  <c:v>0.63058205959549174</c:v>
                </c:pt>
              </c:numCache>
            </c:numRef>
          </c:val>
          <c:smooth val="0"/>
          <c:extLst>
            <c:ext xmlns:c16="http://schemas.microsoft.com/office/drawing/2014/chart" uri="{C3380CC4-5D6E-409C-BE32-E72D297353CC}">
              <c16:uniqueId val="{00000004-146F-4A39-9FF6-BBE38B6E6391}"/>
            </c:ext>
          </c:extLst>
        </c:ser>
        <c:dLbls>
          <c:showLegendKey val="0"/>
          <c:showVal val="0"/>
          <c:showCatName val="0"/>
          <c:showSerName val="0"/>
          <c:showPercent val="0"/>
          <c:showBubbleSize val="0"/>
        </c:dLbls>
        <c:marker val="1"/>
        <c:smooth val="0"/>
        <c:axId val="1046456839"/>
        <c:axId val="1110356487"/>
      </c:lineChart>
      <c:catAx>
        <c:axId val="1046456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56487"/>
        <c:crosses val="autoZero"/>
        <c:auto val="1"/>
        <c:lblAlgn val="ctr"/>
        <c:lblOffset val="100"/>
        <c:noMultiLvlLbl val="0"/>
      </c:catAx>
      <c:valAx>
        <c:axId val="1110356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456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0"/>
          <c:tx>
            <c:strRef>
              <c:f>'Liquidity Dashboard'!$B$6</c:f>
              <c:strCache>
                <c:ptCount val="1"/>
                <c:pt idx="0">
                  <c:v>Cash Flow Liquidity Ratio </c:v>
                </c:pt>
              </c:strCache>
            </c:strRef>
          </c:tx>
          <c:spPr>
            <a:solidFill>
              <a:srgbClr val="FF000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8-4699-4E5F-A6FF-492E339B9B05}"/>
              </c:ext>
            </c:extLst>
          </c:dPt>
          <c:cat>
            <c:strRef>
              <c:f>'Liquidity Dashboard'!$C$3:$E$3</c:f>
              <c:strCache>
                <c:ptCount val="3"/>
                <c:pt idx="0">
                  <c:v>2022</c:v>
                </c:pt>
                <c:pt idx="1">
                  <c:v>2023</c:v>
                </c:pt>
                <c:pt idx="2">
                  <c:v>2024</c:v>
                </c:pt>
              </c:strCache>
            </c:strRef>
          </c:cat>
          <c:val>
            <c:numRef>
              <c:f>'Liquidity Dashboard'!$C$6:$E$6</c:f>
              <c:numCache>
                <c:formatCode>General</c:formatCode>
                <c:ptCount val="3"/>
                <c:pt idx="0">
                  <c:v>0.74251190742575834</c:v>
                </c:pt>
                <c:pt idx="1">
                  <c:v>0.65352782585149338</c:v>
                </c:pt>
                <c:pt idx="2">
                  <c:v>0.63058205959549174</c:v>
                </c:pt>
              </c:numCache>
            </c:numRef>
          </c:val>
          <c:extLst>
            <c:ext xmlns:c16="http://schemas.microsoft.com/office/drawing/2014/chart" uri="{C3380CC4-5D6E-409C-BE32-E72D297353CC}">
              <c16:uniqueId val="{00000004-4699-4E5F-A6FF-492E339B9B05}"/>
            </c:ext>
          </c:extLst>
        </c:ser>
        <c:dLbls>
          <c:showLegendKey val="0"/>
          <c:showVal val="0"/>
          <c:showCatName val="0"/>
          <c:showSerName val="0"/>
          <c:showPercent val="0"/>
          <c:showBubbleSize val="0"/>
        </c:dLbls>
        <c:gapWidth val="150"/>
        <c:overlap val="100"/>
        <c:axId val="1092422151"/>
        <c:axId val="1105410567"/>
      </c:barChart>
      <c:catAx>
        <c:axId val="1092422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10567"/>
        <c:crosses val="autoZero"/>
        <c:auto val="1"/>
        <c:lblAlgn val="ctr"/>
        <c:lblOffset val="100"/>
        <c:noMultiLvlLbl val="0"/>
      </c:catAx>
      <c:valAx>
        <c:axId val="1105410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22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'Liquidity Dashboard'!$B$4</c:f>
              <c:strCache>
                <c:ptCount val="1"/>
                <c:pt idx="0">
                  <c:v>Current Ratio </c:v>
                </c:pt>
              </c:strCache>
            </c:strRef>
          </c:tx>
          <c:spPr>
            <a:solidFill>
              <a:srgbClr val="FF0000"/>
            </a:solidFill>
            <a:ln>
              <a:solidFill>
                <a:srgbClr val="FF0000"/>
              </a:solidFill>
              <a:prstDash val="solid"/>
            </a:ln>
            <a:effectLst/>
          </c:spPr>
          <c:invertIfNegative val="0"/>
          <c:dPt>
            <c:idx val="0"/>
            <c:invertIfNegative val="0"/>
            <c:bubble3D val="0"/>
            <c:spPr>
              <a:solidFill>
                <a:srgbClr val="92D050"/>
              </a:solidFill>
              <a:ln w="25400">
                <a:noFill/>
              </a:ln>
              <a:effectLst/>
            </c:spPr>
            <c:extLst>
              <c:ext xmlns:c16="http://schemas.microsoft.com/office/drawing/2014/chart" uri="{C3380CC4-5D6E-409C-BE32-E72D297353CC}">
                <c16:uniqueId val="{00000003-695E-46E8-B76B-5071DBAFA65B}"/>
              </c:ext>
            </c:extLst>
          </c:dPt>
          <c:dPt>
            <c:idx val="1"/>
            <c:invertIfNegative val="0"/>
            <c:bubble3D val="0"/>
            <c:spPr>
              <a:solidFill>
                <a:srgbClr val="C1F0C8"/>
              </a:solidFill>
              <a:ln w="25400">
                <a:noFill/>
              </a:ln>
              <a:effectLst/>
            </c:spPr>
            <c:extLst>
              <c:ext xmlns:c16="http://schemas.microsoft.com/office/drawing/2014/chart" uri="{C3380CC4-5D6E-409C-BE32-E72D297353CC}">
                <c16:uniqueId val="{00000004-695E-46E8-B76B-5071DBAFA65B}"/>
              </c:ext>
            </c:extLst>
          </c:dPt>
          <c:cat>
            <c:strRef>
              <c:f>'Liquidity Dashboard'!$C$3:$E$3</c:f>
              <c:strCache>
                <c:ptCount val="3"/>
                <c:pt idx="0">
                  <c:v>2022</c:v>
                </c:pt>
                <c:pt idx="1">
                  <c:v>2023</c:v>
                </c:pt>
                <c:pt idx="2">
                  <c:v>2024</c:v>
                </c:pt>
              </c:strCache>
            </c:strRef>
          </c:cat>
          <c:val>
            <c:numRef>
              <c:f>'Liquidity Dashboard'!$C$4:$E$4</c:f>
              <c:numCache>
                <c:formatCode>General</c:formatCode>
                <c:ptCount val="3"/>
                <c:pt idx="0">
                  <c:v>1.3401719783908193</c:v>
                </c:pt>
                <c:pt idx="1">
                  <c:v>1.3115588834339937</c:v>
                </c:pt>
                <c:pt idx="2">
                  <c:v>1.2581318511656632</c:v>
                </c:pt>
              </c:numCache>
            </c:numRef>
          </c:val>
          <c:extLst>
            <c:ext xmlns:c16="http://schemas.microsoft.com/office/drawing/2014/chart" uri="{C3380CC4-5D6E-409C-BE32-E72D297353CC}">
              <c16:uniqueId val="{00000000-695E-46E8-B76B-5071DBAFA65B}"/>
            </c:ext>
          </c:extLst>
        </c:ser>
        <c:dLbls>
          <c:showLegendKey val="0"/>
          <c:showVal val="0"/>
          <c:showCatName val="0"/>
          <c:showSerName val="0"/>
          <c:showPercent val="0"/>
          <c:showBubbleSize val="0"/>
        </c:dLbls>
        <c:gapWidth val="219"/>
        <c:overlap val="-27"/>
        <c:axId val="1203503623"/>
        <c:axId val="1203563015"/>
      </c:barChart>
      <c:catAx>
        <c:axId val="1203503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563015"/>
        <c:crosses val="autoZero"/>
        <c:auto val="1"/>
        <c:lblAlgn val="ctr"/>
        <c:lblOffset val="100"/>
        <c:noMultiLvlLbl val="0"/>
      </c:catAx>
      <c:valAx>
        <c:axId val="1203563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503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'Liquidity Dashboard'!$B$5</c:f>
              <c:strCache>
                <c:ptCount val="1"/>
                <c:pt idx="0">
                  <c:v>Quick Ratio </c:v>
                </c:pt>
              </c:strCache>
            </c:strRef>
          </c:tx>
          <c:spPr>
            <a:solidFill>
              <a:srgbClr val="FF000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74EF-48AE-9D92-097BA9346B8F}"/>
              </c:ext>
            </c:extLst>
          </c:dPt>
          <c:dPt>
            <c:idx val="1"/>
            <c:invertIfNegative val="0"/>
            <c:bubble3D val="0"/>
            <c:spPr>
              <a:solidFill>
                <a:srgbClr val="C1F0C8"/>
              </a:solidFill>
              <a:ln>
                <a:noFill/>
              </a:ln>
              <a:effectLst/>
            </c:spPr>
            <c:extLst>
              <c:ext xmlns:c16="http://schemas.microsoft.com/office/drawing/2014/chart" uri="{C3380CC4-5D6E-409C-BE32-E72D297353CC}">
                <c16:uniqueId val="{00000005-74EF-48AE-9D92-097BA9346B8F}"/>
              </c:ext>
            </c:extLst>
          </c:dPt>
          <c:cat>
            <c:strRef>
              <c:f>'Liquidity Dashboard'!$C$3:$E$3</c:f>
              <c:strCache>
                <c:ptCount val="3"/>
                <c:pt idx="0">
                  <c:v>2022</c:v>
                </c:pt>
                <c:pt idx="1">
                  <c:v>2023</c:v>
                </c:pt>
                <c:pt idx="2">
                  <c:v>2024</c:v>
                </c:pt>
              </c:strCache>
            </c:strRef>
          </c:cat>
          <c:val>
            <c:numRef>
              <c:f>'Liquidity Dashboard'!$C$5:$E$5</c:f>
              <c:numCache>
                <c:formatCode>General</c:formatCode>
                <c:ptCount val="3"/>
                <c:pt idx="0">
                  <c:v>0.61764536649298341</c:v>
                </c:pt>
                <c:pt idx="1">
                  <c:v>0.51363331331897011</c:v>
                </c:pt>
                <c:pt idx="2">
                  <c:v>0.35372549019607841</c:v>
                </c:pt>
              </c:numCache>
            </c:numRef>
          </c:val>
          <c:extLst>
            <c:ext xmlns:c16="http://schemas.microsoft.com/office/drawing/2014/chart" uri="{C3380CC4-5D6E-409C-BE32-E72D297353CC}">
              <c16:uniqueId val="{00000000-74EF-48AE-9D92-097BA9346B8F}"/>
            </c:ext>
          </c:extLst>
        </c:ser>
        <c:dLbls>
          <c:showLegendKey val="0"/>
          <c:showVal val="0"/>
          <c:showCatName val="0"/>
          <c:showSerName val="0"/>
          <c:showPercent val="0"/>
          <c:showBubbleSize val="0"/>
        </c:dLbls>
        <c:gapWidth val="219"/>
        <c:overlap val="-27"/>
        <c:axId val="1424193031"/>
        <c:axId val="1424195079"/>
      </c:barChart>
      <c:catAx>
        <c:axId val="1424193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95079"/>
        <c:crosses val="autoZero"/>
        <c:auto val="1"/>
        <c:lblAlgn val="ctr"/>
        <c:lblOffset val="100"/>
        <c:noMultiLvlLbl val="0"/>
      </c:catAx>
      <c:valAx>
        <c:axId val="1424195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93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ASSET TURNOVER</a:t>
            </a:r>
            <a:r>
              <a:rPr lang="en-GB" baseline="0"/>
              <a:t> RATIOS</a:t>
            </a:r>
            <a:endParaRPr lang="en-GB"/>
          </a:p>
        </c:rich>
      </c:tx>
      <c:layout>
        <c:manualLayout>
          <c:xMode val="edge"/>
          <c:yMode val="edge"/>
          <c:x val="4.5665647053779249E-2"/>
          <c:y val="2.39376619124333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0609174746494791E-2"/>
          <c:y val="0.15077307338845547"/>
          <c:w val="0.90481767940008784"/>
          <c:h val="0.71588257136264"/>
        </c:manualLayout>
      </c:layout>
      <c:barChart>
        <c:barDir val="col"/>
        <c:grouping val="clustered"/>
        <c:varyColors val="0"/>
        <c:ser>
          <c:idx val="0"/>
          <c:order val="0"/>
          <c:tx>
            <c:strRef>
              <c:f>'Efficiency Dashboard'!$C$3</c:f>
              <c:strCache>
                <c:ptCount val="1"/>
                <c:pt idx="0">
                  <c:v>Asset Turnover</c:v>
                </c:pt>
              </c:strCache>
            </c:strRef>
          </c:tx>
          <c:spPr>
            <a:solidFill>
              <a:schemeClr val="accent1"/>
            </a:solidFill>
            <a:ln>
              <a:noFill/>
            </a:ln>
            <a:effectLst/>
          </c:spPr>
          <c:invertIfNegative val="0"/>
          <c:val>
            <c:numRef>
              <c:f>'Efficiency Dashboard'!$C$4:$C$6</c:f>
              <c:numCache>
                <c:formatCode>General</c:formatCode>
                <c:ptCount val="3"/>
                <c:pt idx="0">
                  <c:v>1.795051</c:v>
                </c:pt>
                <c:pt idx="1">
                  <c:v>1.678172</c:v>
                </c:pt>
                <c:pt idx="2">
                  <c:v>1.7226859999999999</c:v>
                </c:pt>
              </c:numCache>
            </c:numRef>
          </c:val>
          <c:extLst>
            <c:ext xmlns:c16="http://schemas.microsoft.com/office/drawing/2014/chart" uri="{C3380CC4-5D6E-409C-BE32-E72D297353CC}">
              <c16:uniqueId val="{00000000-0C54-8247-99E9-399A343A0CCF}"/>
            </c:ext>
          </c:extLst>
        </c:ser>
        <c:dLbls>
          <c:showLegendKey val="0"/>
          <c:showVal val="0"/>
          <c:showCatName val="0"/>
          <c:showSerName val="0"/>
          <c:showPercent val="0"/>
          <c:showBubbleSize val="0"/>
        </c:dLbls>
        <c:gapWidth val="219"/>
        <c:overlap val="-27"/>
        <c:axId val="1451745008"/>
        <c:axId val="1451987408"/>
      </c:barChart>
      <c:catAx>
        <c:axId val="14517450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987408"/>
        <c:crosses val="autoZero"/>
        <c:auto val="1"/>
        <c:lblAlgn val="ctr"/>
        <c:lblOffset val="100"/>
        <c:noMultiLvlLbl val="0"/>
      </c:catAx>
      <c:valAx>
        <c:axId val="14519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45008"/>
        <c:crosses val="autoZero"/>
        <c:crossBetween val="between"/>
      </c:valAx>
      <c:spPr>
        <a:no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1.0464740131100179E-2"/>
          <c:y val="2.412429357067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41426071741032E-2"/>
          <c:y val="0.16708333333333336"/>
          <c:w val="0.88380796150481189"/>
          <c:h val="0.72125801983085447"/>
        </c:manualLayout>
      </c:layout>
      <c:barChart>
        <c:barDir val="col"/>
        <c:grouping val="clustered"/>
        <c:varyColors val="0"/>
        <c:ser>
          <c:idx val="0"/>
          <c:order val="0"/>
          <c:tx>
            <c:strRef>
              <c:f>'Efficiency Dashboard'!$D$3</c:f>
              <c:strCache>
                <c:ptCount val="1"/>
                <c:pt idx="0">
                  <c:v>Non-Current Asset Turnover</c:v>
                </c:pt>
              </c:strCache>
            </c:strRef>
          </c:tx>
          <c:spPr>
            <a:solidFill>
              <a:schemeClr val="accent1"/>
            </a:solidFill>
            <a:ln>
              <a:noFill/>
            </a:ln>
            <a:effectLst/>
          </c:spPr>
          <c:invertIfNegative val="0"/>
          <c:val>
            <c:numRef>
              <c:f>'Efficiency Dashboard'!$D$4:$D$6</c:f>
              <c:numCache>
                <c:formatCode>General</c:formatCode>
                <c:ptCount val="3"/>
                <c:pt idx="0">
                  <c:v>3.2095220000000002</c:v>
                </c:pt>
                <c:pt idx="1">
                  <c:v>3.0120629999999999</c:v>
                </c:pt>
                <c:pt idx="2">
                  <c:v>3.0266820000000001</c:v>
                </c:pt>
              </c:numCache>
            </c:numRef>
          </c:val>
          <c:extLst>
            <c:ext xmlns:c16="http://schemas.microsoft.com/office/drawing/2014/chart" uri="{C3380CC4-5D6E-409C-BE32-E72D297353CC}">
              <c16:uniqueId val="{00000000-F1EE-E244-9DC0-A304E353BA86}"/>
            </c:ext>
          </c:extLst>
        </c:ser>
        <c:dLbls>
          <c:showLegendKey val="0"/>
          <c:showVal val="0"/>
          <c:showCatName val="0"/>
          <c:showSerName val="0"/>
          <c:showPercent val="0"/>
          <c:showBubbleSize val="0"/>
        </c:dLbls>
        <c:gapWidth val="219"/>
        <c:overlap val="-27"/>
        <c:axId val="1809582784"/>
        <c:axId val="1809630304"/>
      </c:barChart>
      <c:catAx>
        <c:axId val="18095827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630304"/>
        <c:crosses val="autoZero"/>
        <c:auto val="1"/>
        <c:lblAlgn val="ctr"/>
        <c:lblOffset val="100"/>
        <c:noMultiLvlLbl val="0"/>
      </c:catAx>
      <c:valAx>
        <c:axId val="180963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8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0458633059674252E-2"/>
          <c:y val="1.666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'Efficiency Dashboard'!$E$3</c:f>
              <c:strCache>
                <c:ptCount val="1"/>
                <c:pt idx="0">
                  <c:v>PPE Turnover</c:v>
                </c:pt>
              </c:strCache>
            </c:strRef>
          </c:tx>
          <c:spPr>
            <a:solidFill>
              <a:schemeClr val="accent1"/>
            </a:solidFill>
            <a:ln>
              <a:noFill/>
            </a:ln>
            <a:effectLst/>
          </c:spPr>
          <c:invertIfNegative val="0"/>
          <c:val>
            <c:numRef>
              <c:f>'Efficiency Dashboard'!$E$4:$E$6</c:f>
              <c:numCache>
                <c:formatCode>General</c:formatCode>
                <c:ptCount val="3"/>
                <c:pt idx="0">
                  <c:v>16.007331000000001</c:v>
                </c:pt>
                <c:pt idx="1">
                  <c:v>16.101165000000002</c:v>
                </c:pt>
                <c:pt idx="2" formatCode="0.000000">
                  <c:v>16.442087000000001</c:v>
                </c:pt>
              </c:numCache>
            </c:numRef>
          </c:val>
          <c:extLst>
            <c:ext xmlns:c16="http://schemas.microsoft.com/office/drawing/2014/chart" uri="{C3380CC4-5D6E-409C-BE32-E72D297353CC}">
              <c16:uniqueId val="{00000000-C83A-DC42-BC24-A3273CBB1298}"/>
            </c:ext>
          </c:extLst>
        </c:ser>
        <c:dLbls>
          <c:showLegendKey val="0"/>
          <c:showVal val="0"/>
          <c:showCatName val="0"/>
          <c:showSerName val="0"/>
          <c:showPercent val="0"/>
          <c:showBubbleSize val="0"/>
        </c:dLbls>
        <c:gapWidth val="219"/>
        <c:overlap val="-27"/>
        <c:axId val="1870932735"/>
        <c:axId val="1870934447"/>
      </c:barChart>
      <c:catAx>
        <c:axId val="18709327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34447"/>
        <c:crosses val="autoZero"/>
        <c:auto val="1"/>
        <c:lblAlgn val="ctr"/>
        <c:lblOffset val="100"/>
        <c:noMultiLvlLbl val="0"/>
      </c:catAx>
      <c:valAx>
        <c:axId val="187093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3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INVENTORY</a:t>
            </a:r>
            <a:r>
              <a:rPr lang="en-GB" baseline="0"/>
              <a:t> MANAGEMENT</a:t>
            </a:r>
            <a:endParaRPr lang="en-GB"/>
          </a:p>
        </c:rich>
      </c:tx>
      <c:layout>
        <c:manualLayout>
          <c:xMode val="edge"/>
          <c:yMode val="edge"/>
          <c:x val="5.8990678073382916E-2"/>
          <c:y val="3.1482971926443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'Efficiency Dashboard'!$C$35</c:f>
              <c:strCache>
                <c:ptCount val="1"/>
                <c:pt idx="0">
                  <c:v>Inventory Turnover</c:v>
                </c:pt>
              </c:strCache>
            </c:strRef>
          </c:tx>
          <c:spPr>
            <a:solidFill>
              <a:schemeClr val="accent1"/>
            </a:solidFill>
            <a:ln>
              <a:noFill/>
            </a:ln>
            <a:effectLst/>
          </c:spPr>
          <c:invertIfNegative val="0"/>
          <c:val>
            <c:numRef>
              <c:f>'Efficiency Dashboard'!$C$36:$C$38</c:f>
              <c:numCache>
                <c:formatCode>General</c:formatCode>
                <c:ptCount val="3"/>
                <c:pt idx="0">
                  <c:v>4.3955209999999996</c:v>
                </c:pt>
                <c:pt idx="1">
                  <c:v>3.976175</c:v>
                </c:pt>
                <c:pt idx="2">
                  <c:v>3.6288809999999998</c:v>
                </c:pt>
              </c:numCache>
            </c:numRef>
          </c:val>
          <c:extLst>
            <c:ext xmlns:c16="http://schemas.microsoft.com/office/drawing/2014/chart" uri="{C3380CC4-5D6E-409C-BE32-E72D297353CC}">
              <c16:uniqueId val="{00000000-FD6A-9D4C-836B-FE029B52A5B2}"/>
            </c:ext>
          </c:extLst>
        </c:ser>
        <c:ser>
          <c:idx val="1"/>
          <c:order val="1"/>
          <c:tx>
            <c:strRef>
              <c:f>'Efficiency Dashboard'!$D$35</c:f>
              <c:strCache>
                <c:ptCount val="1"/>
                <c:pt idx="0">
                  <c:v>Days Inventory</c:v>
                </c:pt>
              </c:strCache>
            </c:strRef>
          </c:tx>
          <c:spPr>
            <a:solidFill>
              <a:schemeClr val="accent4"/>
            </a:solidFill>
            <a:ln>
              <a:noFill/>
            </a:ln>
            <a:effectLst/>
          </c:spPr>
          <c:invertIfNegative val="0"/>
          <c:val>
            <c:numRef>
              <c:f>'Efficiency Dashboard'!$D$36:$D$38</c:f>
              <c:numCache>
                <c:formatCode>General</c:formatCode>
                <c:ptCount val="3"/>
                <c:pt idx="0">
                  <c:v>83</c:v>
                </c:pt>
                <c:pt idx="1">
                  <c:v>92</c:v>
                </c:pt>
                <c:pt idx="2">
                  <c:v>101</c:v>
                </c:pt>
              </c:numCache>
            </c:numRef>
          </c:val>
          <c:extLst>
            <c:ext xmlns:c16="http://schemas.microsoft.com/office/drawing/2014/chart" uri="{C3380CC4-5D6E-409C-BE32-E72D297353CC}">
              <c16:uniqueId val="{00000001-FD6A-9D4C-836B-FE029B52A5B2}"/>
            </c:ext>
          </c:extLst>
        </c:ser>
        <c:dLbls>
          <c:showLegendKey val="0"/>
          <c:showVal val="0"/>
          <c:showCatName val="0"/>
          <c:showSerName val="0"/>
          <c:showPercent val="0"/>
          <c:showBubbleSize val="0"/>
        </c:dLbls>
        <c:gapWidth val="182"/>
        <c:axId val="1003621375"/>
        <c:axId val="814249711"/>
      </c:barChart>
      <c:catAx>
        <c:axId val="100362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249711"/>
        <c:crosses val="autoZero"/>
        <c:auto val="1"/>
        <c:lblAlgn val="ctr"/>
        <c:lblOffset val="100"/>
        <c:noMultiLvlLbl val="0"/>
      </c:catAx>
      <c:valAx>
        <c:axId val="814249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62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Group4.xlsx]Solvency 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'Solvency Dashboard'!$H$9:$H$10</c:f>
              <c:strCache>
                <c:ptCount val="1"/>
                <c:pt idx="0">
                  <c:v>Interest Cover </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'Solvency Dashboard'!$G$11:$G$14</c:f>
              <c:strCache>
                <c:ptCount val="3"/>
                <c:pt idx="0">
                  <c:v>2022</c:v>
                </c:pt>
                <c:pt idx="1">
                  <c:v>2023</c:v>
                </c:pt>
                <c:pt idx="2">
                  <c:v>2024</c:v>
                </c:pt>
              </c:strCache>
            </c:strRef>
          </c:cat>
          <c:val>
            <c:numRef>
              <c:f>'Solvency Dashboard'!$H$11:$H$14</c:f>
              <c:numCache>
                <c:formatCode>General</c:formatCode>
                <c:ptCount val="3"/>
                <c:pt idx="0">
                  <c:v>0.11351852443819327</c:v>
                </c:pt>
                <c:pt idx="1">
                  <c:v>0.1335134626025736</c:v>
                </c:pt>
                <c:pt idx="2">
                  <c:v>0.1005712521228964</c:v>
                </c:pt>
              </c:numCache>
            </c:numRef>
          </c:val>
          <c:smooth val="0"/>
          <c:extLst>
            <c:ext xmlns:c16="http://schemas.microsoft.com/office/drawing/2014/chart" uri="{C3380CC4-5D6E-409C-BE32-E72D297353CC}">
              <c16:uniqueId val="{00000003-CBD3-4518-808A-2D645FAD2E89}"/>
            </c:ext>
          </c:extLst>
        </c:ser>
        <c:dLbls>
          <c:showLegendKey val="0"/>
          <c:showVal val="0"/>
          <c:showCatName val="0"/>
          <c:showSerName val="0"/>
          <c:showPercent val="0"/>
          <c:showBubbleSize val="0"/>
        </c:dLbls>
        <c:marker val="1"/>
        <c:smooth val="0"/>
        <c:axId val="48154119"/>
        <c:axId val="48156167"/>
      </c:lineChart>
      <c:catAx>
        <c:axId val="48154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56167"/>
        <c:crosses val="autoZero"/>
        <c:auto val="1"/>
        <c:lblAlgn val="ctr"/>
        <c:lblOffset val="100"/>
        <c:noMultiLvlLbl val="0"/>
      </c:catAx>
      <c:valAx>
        <c:axId val="48156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54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Group4.xlsx]Solvency 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0000"/>
            </a:solidFill>
            <a:prstDash val="solid"/>
            <a:round/>
          </a:ln>
          <a:effectLst/>
        </c:spPr>
        <c:marker>
          <c:symbol val="circle"/>
          <c:size val="5"/>
          <c:spPr>
            <a:solidFill>
              <a:srgbClr val="FF0000"/>
            </a:solidFill>
            <a:ln w="9525">
              <a:solidFill>
                <a:srgbClr val="FF000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'Solvency Dashboard'!$N$9:$N$10</c:f>
              <c:strCache>
                <c:ptCount val="1"/>
                <c:pt idx="0">
                  <c:v>Gearing (D/E) (%) </c:v>
                </c:pt>
              </c:strCache>
            </c:strRef>
          </c:tx>
          <c:spPr>
            <a:ln w="28575" cap="rnd">
              <a:solidFill>
                <a:srgbClr val="FF0000"/>
              </a:solidFill>
              <a:prstDash val="solid"/>
              <a:round/>
            </a:ln>
            <a:effectLst/>
          </c:spPr>
          <c:marker>
            <c:symbol val="circle"/>
            <c:size val="5"/>
            <c:spPr>
              <a:solidFill>
                <a:srgbClr val="FF0000"/>
              </a:solidFill>
              <a:ln w="9525">
                <a:solidFill>
                  <a:srgbClr val="FF0000"/>
                </a:solidFill>
                <a:prstDash val="solid"/>
              </a:ln>
              <a:effectLst/>
            </c:spPr>
          </c:marker>
          <c:cat>
            <c:strRef>
              <c:f>'Solvency Dashboard'!$M$11:$M$14</c:f>
              <c:strCache>
                <c:ptCount val="3"/>
                <c:pt idx="0">
                  <c:v>2022</c:v>
                </c:pt>
                <c:pt idx="1">
                  <c:v>2023</c:v>
                </c:pt>
                <c:pt idx="2">
                  <c:v>2024</c:v>
                </c:pt>
              </c:strCache>
            </c:strRef>
          </c:cat>
          <c:val>
            <c:numRef>
              <c:f>'Solvency Dashboard'!$N$11:$N$14</c:f>
              <c:numCache>
                <c:formatCode>General</c:formatCode>
                <c:ptCount val="3"/>
                <c:pt idx="0">
                  <c:v>123.11159878508849</c:v>
                </c:pt>
                <c:pt idx="1">
                  <c:v>125.5552807321296</c:v>
                </c:pt>
                <c:pt idx="2">
                  <c:v>138.88395665645595</c:v>
                </c:pt>
              </c:numCache>
            </c:numRef>
          </c:val>
          <c:smooth val="0"/>
          <c:extLst>
            <c:ext xmlns:c16="http://schemas.microsoft.com/office/drawing/2014/chart" uri="{C3380CC4-5D6E-409C-BE32-E72D297353CC}">
              <c16:uniqueId val="{00000003-7766-4A9A-99E9-B2B2397B71FC}"/>
            </c:ext>
          </c:extLst>
        </c:ser>
        <c:dLbls>
          <c:showLegendKey val="0"/>
          <c:showVal val="0"/>
          <c:showCatName val="0"/>
          <c:showSerName val="0"/>
          <c:showPercent val="0"/>
          <c:showBubbleSize val="0"/>
        </c:dLbls>
        <c:marker val="1"/>
        <c:smooth val="0"/>
        <c:axId val="461420551"/>
        <c:axId val="476528647"/>
      </c:lineChart>
      <c:catAx>
        <c:axId val="461420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28647"/>
        <c:crosses val="autoZero"/>
        <c:auto val="1"/>
        <c:lblAlgn val="ctr"/>
        <c:lblOffset val="100"/>
        <c:noMultiLvlLbl val="0"/>
      </c:catAx>
      <c:valAx>
        <c:axId val="476528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20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Group4.xlsx]Market Performance 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Market</a:t>
            </a:r>
            <a:r>
              <a:rPr lang="en-MY" baseline="0"/>
              <a:t> Performance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Performance Dashboard'!$B$3:$B$4</c:f>
              <c:strCache>
                <c:ptCount val="1"/>
                <c:pt idx="0">
                  <c:v>2022</c:v>
                </c:pt>
              </c:strCache>
            </c:strRef>
          </c:tx>
          <c:spPr>
            <a:solidFill>
              <a:schemeClr val="accent1"/>
            </a:solidFill>
            <a:ln>
              <a:noFill/>
            </a:ln>
            <a:effectLst/>
          </c:spPr>
          <c:invertIfNegative val="0"/>
          <c:cat>
            <c:strRef>
              <c:f>'Market Performance Dashboard'!$A$5:$A$11</c:f>
              <c:strCache>
                <c:ptCount val="6"/>
                <c:pt idx="0">
                  <c:v>Dividend Payout Ratio</c:v>
                </c:pt>
                <c:pt idx="1">
                  <c:v>Dividend per Share</c:v>
                </c:pt>
                <c:pt idx="2">
                  <c:v>Dividend Yield</c:v>
                </c:pt>
                <c:pt idx="3">
                  <c:v>EPS</c:v>
                </c:pt>
                <c:pt idx="4">
                  <c:v>P/E Ratio</c:v>
                </c:pt>
                <c:pt idx="5">
                  <c:v>Share Price</c:v>
                </c:pt>
              </c:strCache>
            </c:strRef>
          </c:cat>
          <c:val>
            <c:numRef>
              <c:f>'Market Performance Dashboard'!$B$5:$B$11</c:f>
              <c:numCache>
                <c:formatCode>[$$-C09]#,##0.00;[Red][$$-C09]#,##0.00</c:formatCode>
                <c:ptCount val="6"/>
                <c:pt idx="0" formatCode="0.0%">
                  <c:v>0</c:v>
                </c:pt>
                <c:pt idx="1">
                  <c:v>0</c:v>
                </c:pt>
                <c:pt idx="2" formatCode="0.00%">
                  <c:v>0</c:v>
                </c:pt>
                <c:pt idx="3">
                  <c:v>0.20599999999999999</c:v>
                </c:pt>
                <c:pt idx="4" formatCode="0.0">
                  <c:v>15.679611650485436</c:v>
                </c:pt>
                <c:pt idx="5">
                  <c:v>3.23</c:v>
                </c:pt>
              </c:numCache>
            </c:numRef>
          </c:val>
          <c:extLst>
            <c:ext xmlns:c16="http://schemas.microsoft.com/office/drawing/2014/chart" uri="{C3380CC4-5D6E-409C-BE32-E72D297353CC}">
              <c16:uniqueId val="{00000000-E620-45D1-9045-8ABFA6BE247F}"/>
            </c:ext>
          </c:extLst>
        </c:ser>
        <c:ser>
          <c:idx val="1"/>
          <c:order val="1"/>
          <c:tx>
            <c:strRef>
              <c:f>'Market Performance Dashboard'!$C$3:$C$4</c:f>
              <c:strCache>
                <c:ptCount val="1"/>
                <c:pt idx="0">
                  <c:v>2023</c:v>
                </c:pt>
              </c:strCache>
            </c:strRef>
          </c:tx>
          <c:spPr>
            <a:solidFill>
              <a:schemeClr val="accent2"/>
            </a:solidFill>
            <a:ln>
              <a:noFill/>
            </a:ln>
            <a:effectLst/>
          </c:spPr>
          <c:invertIfNegative val="0"/>
          <c:cat>
            <c:strRef>
              <c:f>'Market Performance Dashboard'!$A$5:$A$11</c:f>
              <c:strCache>
                <c:ptCount val="6"/>
                <c:pt idx="0">
                  <c:v>Dividend Payout Ratio</c:v>
                </c:pt>
                <c:pt idx="1">
                  <c:v>Dividend per Share</c:v>
                </c:pt>
                <c:pt idx="2">
                  <c:v>Dividend Yield</c:v>
                </c:pt>
                <c:pt idx="3">
                  <c:v>EPS</c:v>
                </c:pt>
                <c:pt idx="4">
                  <c:v>P/E Ratio</c:v>
                </c:pt>
                <c:pt idx="5">
                  <c:v>Share Price</c:v>
                </c:pt>
              </c:strCache>
            </c:strRef>
          </c:cat>
          <c:val>
            <c:numRef>
              <c:f>'Market Performance Dashboard'!$C$5:$C$11</c:f>
              <c:numCache>
                <c:formatCode>[$$-C09]#,##0.00;[Red][$$-C09]#,##0.00</c:formatCode>
                <c:ptCount val="6"/>
                <c:pt idx="0" formatCode="0.0%">
                  <c:v>0.58799999999999997</c:v>
                </c:pt>
                <c:pt idx="1">
                  <c:v>0.16</c:v>
                </c:pt>
                <c:pt idx="2" formatCode="0.00%">
                  <c:v>3.5200000000000002E-2</c:v>
                </c:pt>
                <c:pt idx="3">
                  <c:v>0.27200000000000002</c:v>
                </c:pt>
                <c:pt idx="4" formatCode="0.0">
                  <c:v>16.7</c:v>
                </c:pt>
                <c:pt idx="5">
                  <c:v>4.55</c:v>
                </c:pt>
              </c:numCache>
            </c:numRef>
          </c:val>
          <c:extLst>
            <c:ext xmlns:c16="http://schemas.microsoft.com/office/drawing/2014/chart" uri="{C3380CC4-5D6E-409C-BE32-E72D297353CC}">
              <c16:uniqueId val="{00000000-E7C8-42C0-8254-45A24DBE15A3}"/>
            </c:ext>
          </c:extLst>
        </c:ser>
        <c:ser>
          <c:idx val="2"/>
          <c:order val="2"/>
          <c:tx>
            <c:strRef>
              <c:f>'Market Performance Dashboard'!$D$3:$D$4</c:f>
              <c:strCache>
                <c:ptCount val="1"/>
                <c:pt idx="0">
                  <c:v>2024</c:v>
                </c:pt>
              </c:strCache>
            </c:strRef>
          </c:tx>
          <c:spPr>
            <a:solidFill>
              <a:schemeClr val="accent3"/>
            </a:solidFill>
            <a:ln>
              <a:noFill/>
            </a:ln>
            <a:effectLst/>
          </c:spPr>
          <c:invertIfNegative val="0"/>
          <c:cat>
            <c:strRef>
              <c:f>'Market Performance Dashboard'!$A$5:$A$11</c:f>
              <c:strCache>
                <c:ptCount val="6"/>
                <c:pt idx="0">
                  <c:v>Dividend Payout Ratio</c:v>
                </c:pt>
                <c:pt idx="1">
                  <c:v>Dividend per Share</c:v>
                </c:pt>
                <c:pt idx="2">
                  <c:v>Dividend Yield</c:v>
                </c:pt>
                <c:pt idx="3">
                  <c:v>EPS</c:v>
                </c:pt>
                <c:pt idx="4">
                  <c:v>P/E Ratio</c:v>
                </c:pt>
                <c:pt idx="5">
                  <c:v>Share Price</c:v>
                </c:pt>
              </c:strCache>
            </c:strRef>
          </c:cat>
          <c:val>
            <c:numRef>
              <c:f>'Market Performance Dashboard'!$D$5:$D$11</c:f>
              <c:numCache>
                <c:formatCode>[$$-C09]#,##0.00;[Red][$$-C09]#,##0.00</c:formatCode>
                <c:ptCount val="6"/>
                <c:pt idx="0" formatCode="0.0%">
                  <c:v>0.80600000000000005</c:v>
                </c:pt>
                <c:pt idx="1">
                  <c:v>0.1</c:v>
                </c:pt>
                <c:pt idx="2" formatCode="0.00%">
                  <c:v>3.0300000000000001E-2</c:v>
                </c:pt>
                <c:pt idx="3">
                  <c:v>0.124</c:v>
                </c:pt>
                <c:pt idx="4" formatCode="0.0">
                  <c:v>26.6</c:v>
                </c:pt>
                <c:pt idx="5">
                  <c:v>3.3</c:v>
                </c:pt>
              </c:numCache>
            </c:numRef>
          </c:val>
          <c:extLst>
            <c:ext xmlns:c16="http://schemas.microsoft.com/office/drawing/2014/chart" uri="{C3380CC4-5D6E-409C-BE32-E72D297353CC}">
              <c16:uniqueId val="{00000001-E7C8-42C0-8254-45A24DBE15A3}"/>
            </c:ext>
          </c:extLst>
        </c:ser>
        <c:dLbls>
          <c:showLegendKey val="0"/>
          <c:showVal val="0"/>
          <c:showCatName val="0"/>
          <c:showSerName val="0"/>
          <c:showPercent val="0"/>
          <c:showBubbleSize val="0"/>
        </c:dLbls>
        <c:gapWidth val="219"/>
        <c:overlap val="-27"/>
        <c:axId val="2100210831"/>
        <c:axId val="2100212751"/>
      </c:barChart>
      <c:catAx>
        <c:axId val="210021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12751"/>
        <c:crosses val="autoZero"/>
        <c:auto val="1"/>
        <c:lblAlgn val="ctr"/>
        <c:lblOffset val="100"/>
        <c:noMultiLvlLbl val="0"/>
      </c:catAx>
      <c:valAx>
        <c:axId val="21002127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1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Group4.xlsx]Market Performance Dashboard!PivotTable3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'Market Performance Dashboard'!$J$3:$J$4</c:f>
              <c:strCache>
                <c:ptCount val="1"/>
                <c:pt idx="0">
                  <c:v>Share Price</c:v>
                </c:pt>
              </c:strCache>
            </c:strRef>
          </c:tx>
          <c:spPr>
            <a:solidFill>
              <a:schemeClr val="accent2"/>
            </a:solidFill>
            <a:ln>
              <a:noFill/>
            </a:ln>
            <a:effectLst/>
          </c:spPr>
          <c:invertIfNegative val="0"/>
          <c:cat>
            <c:strRef>
              <c:f>'Market Performance Dashboard'!$H$5:$H$8</c:f>
              <c:strCache>
                <c:ptCount val="3"/>
                <c:pt idx="0">
                  <c:v>2022</c:v>
                </c:pt>
                <c:pt idx="1">
                  <c:v>2023</c:v>
                </c:pt>
                <c:pt idx="2">
                  <c:v>2024</c:v>
                </c:pt>
              </c:strCache>
            </c:strRef>
          </c:cat>
          <c:val>
            <c:numRef>
              <c:f>'Market Performance Dashboard'!$J$5:$J$8</c:f>
              <c:numCache>
                <c:formatCode>[$$-C09]#,##0.00</c:formatCode>
                <c:ptCount val="3"/>
                <c:pt idx="0">
                  <c:v>3.23</c:v>
                </c:pt>
                <c:pt idx="1">
                  <c:v>4.55</c:v>
                </c:pt>
                <c:pt idx="2">
                  <c:v>3.3</c:v>
                </c:pt>
              </c:numCache>
            </c:numRef>
          </c:val>
          <c:extLst>
            <c:ext xmlns:c16="http://schemas.microsoft.com/office/drawing/2014/chart" uri="{C3380CC4-5D6E-409C-BE32-E72D297353CC}">
              <c16:uniqueId val="{00000001-17C4-40D0-880F-9918912E56FC}"/>
            </c:ext>
          </c:extLst>
        </c:ser>
        <c:dLbls>
          <c:showLegendKey val="0"/>
          <c:showVal val="0"/>
          <c:showCatName val="0"/>
          <c:showSerName val="0"/>
          <c:showPercent val="0"/>
          <c:showBubbleSize val="0"/>
        </c:dLbls>
        <c:gapWidth val="219"/>
        <c:axId val="2102384303"/>
        <c:axId val="47135887"/>
      </c:barChart>
      <c:lineChart>
        <c:grouping val="standard"/>
        <c:varyColors val="0"/>
        <c:ser>
          <c:idx val="0"/>
          <c:order val="0"/>
          <c:tx>
            <c:strRef>
              <c:f>'Market Performance Dashboard'!$I$3:$I$4</c:f>
              <c:strCache>
                <c:ptCount val="1"/>
                <c:pt idx="0">
                  <c:v>EPS</c:v>
                </c:pt>
              </c:strCache>
            </c:strRef>
          </c:tx>
          <c:spPr>
            <a:ln w="28575" cap="rnd">
              <a:solidFill>
                <a:schemeClr val="accent1"/>
              </a:solidFill>
              <a:round/>
            </a:ln>
            <a:effectLst/>
          </c:spPr>
          <c:marker>
            <c:symbol val="none"/>
          </c:marker>
          <c:cat>
            <c:strRef>
              <c:f>'Market Performance Dashboard'!$H$5:$H$8</c:f>
              <c:strCache>
                <c:ptCount val="3"/>
                <c:pt idx="0">
                  <c:v>2022</c:v>
                </c:pt>
                <c:pt idx="1">
                  <c:v>2023</c:v>
                </c:pt>
                <c:pt idx="2">
                  <c:v>2024</c:v>
                </c:pt>
              </c:strCache>
            </c:strRef>
          </c:cat>
          <c:val>
            <c:numRef>
              <c:f>'Market Performance Dashboard'!$I$5:$I$8</c:f>
              <c:numCache>
                <c:formatCode>[$$-C09]#,##0.00</c:formatCode>
                <c:ptCount val="3"/>
                <c:pt idx="0">
                  <c:v>0.20599999999999999</c:v>
                </c:pt>
                <c:pt idx="1">
                  <c:v>0.27200000000000002</c:v>
                </c:pt>
                <c:pt idx="2">
                  <c:v>0.124</c:v>
                </c:pt>
              </c:numCache>
            </c:numRef>
          </c:val>
          <c:smooth val="0"/>
          <c:extLst>
            <c:ext xmlns:c16="http://schemas.microsoft.com/office/drawing/2014/chart" uri="{C3380CC4-5D6E-409C-BE32-E72D297353CC}">
              <c16:uniqueId val="{00000000-17C4-40D0-880F-9918912E56FC}"/>
            </c:ext>
          </c:extLst>
        </c:ser>
        <c:dLbls>
          <c:showLegendKey val="0"/>
          <c:showVal val="0"/>
          <c:showCatName val="0"/>
          <c:showSerName val="0"/>
          <c:showPercent val="0"/>
          <c:showBubbleSize val="0"/>
        </c:dLbls>
        <c:marker val="1"/>
        <c:smooth val="0"/>
        <c:axId val="730025263"/>
        <c:axId val="730024783"/>
      </c:lineChart>
      <c:catAx>
        <c:axId val="210238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5887"/>
        <c:crosses val="autoZero"/>
        <c:auto val="1"/>
        <c:lblAlgn val="ctr"/>
        <c:lblOffset val="100"/>
        <c:noMultiLvlLbl val="0"/>
      </c:catAx>
      <c:valAx>
        <c:axId val="4713588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84303"/>
        <c:crosses val="autoZero"/>
        <c:crossBetween val="between"/>
      </c:valAx>
      <c:valAx>
        <c:axId val="730024783"/>
        <c:scaling>
          <c:orientation val="minMax"/>
        </c:scaling>
        <c:delete val="0"/>
        <c:axPos val="r"/>
        <c:numFmt formatCode="[$$-C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25263"/>
        <c:crosses val="max"/>
        <c:crossBetween val="between"/>
      </c:valAx>
      <c:catAx>
        <c:axId val="730025263"/>
        <c:scaling>
          <c:orientation val="minMax"/>
        </c:scaling>
        <c:delete val="1"/>
        <c:axPos val="b"/>
        <c:numFmt formatCode="General" sourceLinked="1"/>
        <c:majorTickMark val="out"/>
        <c:minorTickMark val="none"/>
        <c:tickLblPos val="nextTo"/>
        <c:crossAx val="730024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Dashboard'!$AB$5:$AB$6</c:f>
              <c:strCache>
                <c:ptCount val="1"/>
                <c:pt idx="0">
                  <c:v>EBIT Margin</c:v>
                </c:pt>
              </c:strCache>
            </c:strRef>
          </c:tx>
          <c:spPr>
            <a:solidFill>
              <a:schemeClr val="accent1"/>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Dashboard'!$AB$7:$AB$10</c:f>
              <c:numCache>
                <c:formatCode>0.00%</c:formatCode>
                <c:ptCount val="4"/>
                <c:pt idx="0">
                  <c:v>4.5703839999999996E-2</c:v>
                </c:pt>
                <c:pt idx="1">
                  <c:v>0.20194382999999999</c:v>
                </c:pt>
                <c:pt idx="2">
                  <c:v>0.14062634000000002</c:v>
                </c:pt>
                <c:pt idx="3">
                  <c:v>6.9042549999999994E-2</c:v>
                </c:pt>
              </c:numCache>
            </c:numRef>
          </c:val>
          <c:extLst>
            <c:ext xmlns:c16="http://schemas.microsoft.com/office/drawing/2014/chart" uri="{C3380CC4-5D6E-409C-BE32-E72D297353CC}">
              <c16:uniqueId val="{0000000B-1636-2F41-AACA-B91F679AB4AA}"/>
            </c:ext>
          </c:extLst>
        </c:ser>
        <c:ser>
          <c:idx val="1"/>
          <c:order val="1"/>
          <c:tx>
            <c:strRef>
              <c:f>'Profitability Dashboard'!$AC$5:$AC$6</c:f>
              <c:strCache>
                <c:ptCount val="1"/>
                <c:pt idx="0">
                  <c:v>Net Profit Margin</c:v>
                </c:pt>
              </c:strCache>
            </c:strRef>
          </c:tx>
          <c:spPr>
            <a:solidFill>
              <a:schemeClr val="accent2"/>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Dashboard'!$AC$7:$AC$10</c:f>
              <c:numCache>
                <c:formatCode>0.00%</c:formatCode>
                <c:ptCount val="4"/>
                <c:pt idx="0">
                  <c:v>2.9121320000000003E-2</c:v>
                </c:pt>
                <c:pt idx="1">
                  <c:v>0.12066398</c:v>
                </c:pt>
                <c:pt idx="2">
                  <c:v>0.10239045000000001</c:v>
                </c:pt>
                <c:pt idx="3">
                  <c:v>2.8024819999999999E-2</c:v>
                </c:pt>
              </c:numCache>
            </c:numRef>
          </c:val>
          <c:extLst>
            <c:ext xmlns:c16="http://schemas.microsoft.com/office/drawing/2014/chart" uri="{C3380CC4-5D6E-409C-BE32-E72D297353CC}">
              <c16:uniqueId val="{00000003-F848-447E-925F-C79EF7BE7B91}"/>
            </c:ext>
          </c:extLst>
        </c:ser>
        <c:ser>
          <c:idx val="2"/>
          <c:order val="2"/>
          <c:tx>
            <c:strRef>
              <c:f>'Profitability Dashboard'!$AD$5:$AD$6</c:f>
              <c:strCache>
                <c:ptCount val="1"/>
                <c:pt idx="0">
                  <c:v>ROA</c:v>
                </c:pt>
              </c:strCache>
            </c:strRef>
          </c:tx>
          <c:spPr>
            <a:solidFill>
              <a:schemeClr val="accent3"/>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Dashboard'!$AD$7:$AD$10</c:f>
              <c:numCache>
                <c:formatCode>0.00%</c:formatCode>
                <c:ptCount val="4"/>
                <c:pt idx="0">
                  <c:v>6.7736840000000006E-2</c:v>
                </c:pt>
                <c:pt idx="1">
                  <c:v>0.24177561999999997</c:v>
                </c:pt>
                <c:pt idx="2">
                  <c:v>0.19802186999999999</c:v>
                </c:pt>
                <c:pt idx="3">
                  <c:v>4.8633209999999996E-2</c:v>
                </c:pt>
              </c:numCache>
            </c:numRef>
          </c:val>
          <c:extLst>
            <c:ext xmlns:c16="http://schemas.microsoft.com/office/drawing/2014/chart" uri="{C3380CC4-5D6E-409C-BE32-E72D297353CC}">
              <c16:uniqueId val="{00000000-159D-4F50-B483-B370C30D835A}"/>
            </c:ext>
          </c:extLst>
        </c:ser>
        <c:ser>
          <c:idx val="3"/>
          <c:order val="3"/>
          <c:tx>
            <c:strRef>
              <c:f>'Profitability Dashboard'!$AE$5:$AE$6</c:f>
              <c:strCache>
                <c:ptCount val="1"/>
                <c:pt idx="0">
                  <c:v>ROE</c:v>
                </c:pt>
              </c:strCache>
            </c:strRef>
          </c:tx>
          <c:spPr>
            <a:solidFill>
              <a:schemeClr val="accent4"/>
            </a:solidFill>
            <a:ln>
              <a:noFill/>
            </a:ln>
            <a:effectLst/>
          </c:spPr>
          <c:invertIfNegative val="0"/>
          <c:cat>
            <c:strRef>
              <c:f>'Profitability Dashboard'!$AA$7:$AA$10</c:f>
              <c:strCache>
                <c:ptCount val="4"/>
                <c:pt idx="0">
                  <c:v>Big W</c:v>
                </c:pt>
                <c:pt idx="1">
                  <c:v>KMART</c:v>
                </c:pt>
                <c:pt idx="2">
                  <c:v>Target</c:v>
                </c:pt>
                <c:pt idx="3">
                  <c:v>The Reject Shop</c:v>
                </c:pt>
              </c:strCache>
            </c:strRef>
          </c:cat>
          <c:val>
            <c:numRef>
              <c:f>'Profitability Dashboard'!$AE$7:$AE$10</c:f>
              <c:numCache>
                <c:formatCode>0.00%</c:formatCode>
                <c:ptCount val="4"/>
                <c:pt idx="0">
                  <c:v>0.11289474000000001</c:v>
                </c:pt>
                <c:pt idx="1">
                  <c:v>0.40295940000000002</c:v>
                </c:pt>
                <c:pt idx="2">
                  <c:v>0.77070050000000001</c:v>
                </c:pt>
                <c:pt idx="3">
                  <c:v>0.13163979000000001</c:v>
                </c:pt>
              </c:numCache>
            </c:numRef>
          </c:val>
          <c:extLst>
            <c:ext xmlns:c16="http://schemas.microsoft.com/office/drawing/2014/chart" uri="{C3380CC4-5D6E-409C-BE32-E72D297353CC}">
              <c16:uniqueId val="{00000001-159D-4F50-B483-B370C30D835A}"/>
            </c:ext>
          </c:extLst>
        </c:ser>
        <c:dLbls>
          <c:showLegendKey val="0"/>
          <c:showVal val="0"/>
          <c:showCatName val="0"/>
          <c:showSerName val="0"/>
          <c:showPercent val="0"/>
          <c:showBubbleSize val="0"/>
        </c:dLbls>
        <c:gapWidth val="219"/>
        <c:overlap val="-27"/>
        <c:axId val="1884957200"/>
        <c:axId val="731163151"/>
      </c:barChart>
      <c:catAx>
        <c:axId val="18849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63151"/>
        <c:crosses val="autoZero"/>
        <c:auto val="1"/>
        <c:lblAlgn val="ctr"/>
        <c:lblOffset val="100"/>
        <c:noMultiLvlLbl val="0"/>
      </c:catAx>
      <c:valAx>
        <c:axId val="731163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2</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'Profitability Dashboard'!$AB$14:$AB$15</c:f>
              <c:strCache>
                <c:ptCount val="1"/>
                <c:pt idx="0">
                  <c:v>Big W</c:v>
                </c:pt>
              </c:strCache>
            </c:strRef>
          </c:tx>
          <c:spPr>
            <a:ln w="28575" cap="rnd">
              <a:solidFill>
                <a:schemeClr val="accent1"/>
              </a:solidFill>
              <a:round/>
            </a:ln>
            <a:effectLst/>
          </c:spPr>
          <c:marker>
            <c:symbol val="none"/>
          </c:marker>
          <c:cat>
            <c:strRef>
              <c:f>'Profitability Dashboard'!$AA$16:$AA$18</c:f>
              <c:strCache>
                <c:ptCount val="3"/>
                <c:pt idx="0">
                  <c:v>2022</c:v>
                </c:pt>
                <c:pt idx="1">
                  <c:v>2023</c:v>
                </c:pt>
                <c:pt idx="2">
                  <c:v>2024</c:v>
                </c:pt>
              </c:strCache>
            </c:strRef>
          </c:cat>
          <c:val>
            <c:numRef>
              <c:f>'Profitability Dashboard'!$AB$16:$AB$18</c:f>
              <c:numCache>
                <c:formatCode>0.00%</c:formatCode>
                <c:ptCount val="3"/>
                <c:pt idx="0">
                  <c:v>0.13290304</c:v>
                </c:pt>
                <c:pt idx="1">
                  <c:v>0.10699853000000001</c:v>
                </c:pt>
                <c:pt idx="2">
                  <c:v>1.555517E-2</c:v>
                </c:pt>
              </c:numCache>
            </c:numRef>
          </c:val>
          <c:smooth val="0"/>
          <c:extLst>
            <c:ext xmlns:c16="http://schemas.microsoft.com/office/drawing/2014/chart" uri="{C3380CC4-5D6E-409C-BE32-E72D297353CC}">
              <c16:uniqueId val="{0000000F-832C-CD46-B26C-81E44246F6C3}"/>
            </c:ext>
          </c:extLst>
        </c:ser>
        <c:ser>
          <c:idx val="1"/>
          <c:order val="1"/>
          <c:tx>
            <c:strRef>
              <c:f>'Profitability Dashboard'!$AC$14:$AC$15</c:f>
              <c:strCache>
                <c:ptCount val="1"/>
                <c:pt idx="0">
                  <c:v>KMART</c:v>
                </c:pt>
              </c:strCache>
            </c:strRef>
          </c:tx>
          <c:spPr>
            <a:ln w="28575" cap="rnd">
              <a:solidFill>
                <a:schemeClr val="accent2"/>
              </a:solidFill>
              <a:round/>
            </a:ln>
            <a:effectLst/>
          </c:spPr>
          <c:marker>
            <c:symbol val="none"/>
          </c:marker>
          <c:cat>
            <c:strRef>
              <c:f>'Profitability Dashboard'!$AA$16:$AA$18</c:f>
              <c:strCache>
                <c:ptCount val="3"/>
                <c:pt idx="0">
                  <c:v>2022</c:v>
                </c:pt>
                <c:pt idx="1">
                  <c:v>2023</c:v>
                </c:pt>
                <c:pt idx="2">
                  <c:v>2024</c:v>
                </c:pt>
              </c:strCache>
            </c:strRef>
          </c:cat>
          <c:val>
            <c:numRef>
              <c:f>'Profitability Dashboard'!$AC$16:$AC$18</c:f>
              <c:numCache>
                <c:formatCode>0.00%</c:formatCode>
                <c:ptCount val="3"/>
                <c:pt idx="0">
                  <c:v>0.23473146</c:v>
                </c:pt>
                <c:pt idx="1">
                  <c:v>0.32493168</c:v>
                </c:pt>
                <c:pt idx="2">
                  <c:v>0.40767969000000004</c:v>
                </c:pt>
              </c:numCache>
            </c:numRef>
          </c:val>
          <c:smooth val="0"/>
          <c:extLst>
            <c:ext xmlns:c16="http://schemas.microsoft.com/office/drawing/2014/chart" uri="{C3380CC4-5D6E-409C-BE32-E72D297353CC}">
              <c16:uniqueId val="{00000001-F8C8-4DCF-A9BC-8A4051175B90}"/>
            </c:ext>
          </c:extLst>
        </c:ser>
        <c:ser>
          <c:idx val="2"/>
          <c:order val="2"/>
          <c:tx>
            <c:strRef>
              <c:f>'Profitability Dashboard'!$AD$14:$AD$15</c:f>
              <c:strCache>
                <c:ptCount val="1"/>
                <c:pt idx="0">
                  <c:v>Target</c:v>
                </c:pt>
              </c:strCache>
            </c:strRef>
          </c:tx>
          <c:spPr>
            <a:ln w="28575" cap="rnd">
              <a:solidFill>
                <a:schemeClr val="accent3"/>
              </a:solidFill>
              <a:round/>
            </a:ln>
            <a:effectLst/>
          </c:spPr>
          <c:marker>
            <c:symbol val="none"/>
          </c:marker>
          <c:cat>
            <c:strRef>
              <c:f>'Profitability Dashboard'!$AA$16:$AA$18</c:f>
              <c:strCache>
                <c:ptCount val="3"/>
                <c:pt idx="0">
                  <c:v>2022</c:v>
                </c:pt>
                <c:pt idx="1">
                  <c:v>2023</c:v>
                </c:pt>
                <c:pt idx="2">
                  <c:v>2024</c:v>
                </c:pt>
              </c:strCache>
            </c:strRef>
          </c:cat>
          <c:val>
            <c:numRef>
              <c:f>'Profitability Dashboard'!$AD$16:$AD$18</c:f>
              <c:numCache>
                <c:formatCode>0.00%</c:formatCode>
                <c:ptCount val="3"/>
                <c:pt idx="0">
                  <c:v>0.32379940000000001</c:v>
                </c:pt>
                <c:pt idx="1">
                  <c:v>0.45377003999999999</c:v>
                </c:pt>
                <c:pt idx="2">
                  <c:v>0.43416972000000004</c:v>
                </c:pt>
              </c:numCache>
            </c:numRef>
          </c:val>
          <c:smooth val="0"/>
          <c:extLst>
            <c:ext xmlns:c16="http://schemas.microsoft.com/office/drawing/2014/chart" uri="{C3380CC4-5D6E-409C-BE32-E72D297353CC}">
              <c16:uniqueId val="{00000002-F8C8-4DCF-A9BC-8A4051175B90}"/>
            </c:ext>
          </c:extLst>
        </c:ser>
        <c:ser>
          <c:idx val="3"/>
          <c:order val="3"/>
          <c:tx>
            <c:strRef>
              <c:f>'Profitability Dashboard'!$AE$14:$AE$15</c:f>
              <c:strCache>
                <c:ptCount val="1"/>
                <c:pt idx="0">
                  <c:v>The Reject Shop</c:v>
                </c:pt>
              </c:strCache>
            </c:strRef>
          </c:tx>
          <c:spPr>
            <a:ln w="28575" cap="rnd">
              <a:solidFill>
                <a:schemeClr val="accent4"/>
              </a:solidFill>
              <a:round/>
            </a:ln>
            <a:effectLst/>
          </c:spPr>
          <c:marker>
            <c:symbol val="none"/>
          </c:marker>
          <c:cat>
            <c:strRef>
              <c:f>'Profitability Dashboard'!$AA$16:$AA$18</c:f>
              <c:strCache>
                <c:ptCount val="3"/>
                <c:pt idx="0">
                  <c:v>2022</c:v>
                </c:pt>
                <c:pt idx="1">
                  <c:v>2023</c:v>
                </c:pt>
                <c:pt idx="2">
                  <c:v>2024</c:v>
                </c:pt>
              </c:strCache>
            </c:strRef>
          </c:cat>
          <c:val>
            <c:numRef>
              <c:f>'Profitability Dashboard'!$AE$16:$AE$18</c:f>
              <c:numCache>
                <c:formatCode>0.00%</c:formatCode>
                <c:ptCount val="3"/>
                <c:pt idx="0">
                  <c:v>9.7924280000000002E-2</c:v>
                </c:pt>
                <c:pt idx="1">
                  <c:v>0.11856583</c:v>
                </c:pt>
                <c:pt idx="2">
                  <c:v>6.0850260000000003E-2</c:v>
                </c:pt>
              </c:numCache>
            </c:numRef>
          </c:val>
          <c:smooth val="0"/>
          <c:extLst>
            <c:ext xmlns:c16="http://schemas.microsoft.com/office/drawing/2014/chart" uri="{C3380CC4-5D6E-409C-BE32-E72D297353CC}">
              <c16:uniqueId val="{00000003-F8C8-4DCF-A9BC-8A4051175B90}"/>
            </c:ext>
          </c:extLst>
        </c:ser>
        <c:dLbls>
          <c:showLegendKey val="0"/>
          <c:showVal val="0"/>
          <c:showCatName val="0"/>
          <c:showSerName val="0"/>
          <c:showPercent val="0"/>
          <c:showBubbleSize val="0"/>
        </c:dLbls>
        <c:smooth val="0"/>
        <c:axId val="771141952"/>
        <c:axId val="745090144"/>
      </c:lineChart>
      <c:catAx>
        <c:axId val="77114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090144"/>
        <c:crosses val="autoZero"/>
        <c:auto val="1"/>
        <c:lblAlgn val="ctr"/>
        <c:lblOffset val="100"/>
        <c:noMultiLvlLbl val="0"/>
      </c:catAx>
      <c:valAx>
        <c:axId val="745090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'Profitability Dashboard'!$AB$22:$AB$23</c:f>
              <c:strCache>
                <c:ptCount val="1"/>
                <c:pt idx="0">
                  <c:v>EBIT Margin</c:v>
                </c:pt>
              </c:strCache>
            </c:strRef>
          </c:tx>
          <c:spPr>
            <a:solidFill>
              <a:schemeClr val="accent1"/>
            </a:solidFill>
            <a:ln>
              <a:noFill/>
            </a:ln>
            <a:effectLst/>
          </c:spPr>
          <c:invertIfNegative val="0"/>
          <c:cat>
            <c:strRef>
              <c:f>'Profitability Dashboard'!$AA$24:$AA$26</c:f>
              <c:strCache>
                <c:ptCount val="3"/>
                <c:pt idx="0">
                  <c:v>2022</c:v>
                </c:pt>
                <c:pt idx="1">
                  <c:v>2023</c:v>
                </c:pt>
                <c:pt idx="2">
                  <c:v>2024</c:v>
                </c:pt>
              </c:strCache>
            </c:strRef>
          </c:cat>
          <c:val>
            <c:numRef>
              <c:f>'Profitability Dashboard'!$AB$24:$AB$26</c:f>
              <c:numCache>
                <c:formatCode>0.00%</c:formatCode>
                <c:ptCount val="3"/>
                <c:pt idx="0">
                  <c:v>0.11358242999999998</c:v>
                </c:pt>
                <c:pt idx="1">
                  <c:v>0.18322205</c:v>
                </c:pt>
                <c:pt idx="2">
                  <c:v>0.16051208</c:v>
                </c:pt>
              </c:numCache>
            </c:numRef>
          </c:val>
          <c:extLst>
            <c:ext xmlns:c16="http://schemas.microsoft.com/office/drawing/2014/chart" uri="{C3380CC4-5D6E-409C-BE32-E72D297353CC}">
              <c16:uniqueId val="{00000003-5434-F740-B805-335BAE02A0EA}"/>
            </c:ext>
          </c:extLst>
        </c:ser>
        <c:dLbls>
          <c:showLegendKey val="0"/>
          <c:showVal val="0"/>
          <c:showCatName val="0"/>
          <c:showSerName val="0"/>
          <c:showPercent val="0"/>
          <c:showBubbleSize val="0"/>
        </c:dLbls>
        <c:gapWidth val="219"/>
        <c:axId val="1266712672"/>
        <c:axId val="1280195120"/>
      </c:barChart>
      <c:lineChart>
        <c:grouping val="standard"/>
        <c:varyColors val="0"/>
        <c:ser>
          <c:idx val="1"/>
          <c:order val="1"/>
          <c:tx>
            <c:strRef>
              <c:f>'Profitability Dashboard'!$AC$22:$AC$23</c:f>
              <c:strCache>
                <c:ptCount val="1"/>
                <c:pt idx="0">
                  <c:v>ROE</c:v>
                </c:pt>
              </c:strCache>
            </c:strRef>
          </c:tx>
          <c:spPr>
            <a:ln w="28575" cap="rnd">
              <a:solidFill>
                <a:schemeClr val="accent2"/>
              </a:solidFill>
              <a:round/>
            </a:ln>
            <a:effectLst/>
          </c:spPr>
          <c:marker>
            <c:symbol val="none"/>
          </c:marker>
          <c:cat>
            <c:strRef>
              <c:f>'Profitability Dashboard'!$AA$24:$AA$26</c:f>
              <c:strCache>
                <c:ptCount val="3"/>
                <c:pt idx="0">
                  <c:v>2022</c:v>
                </c:pt>
                <c:pt idx="1">
                  <c:v>2023</c:v>
                </c:pt>
                <c:pt idx="2">
                  <c:v>2024</c:v>
                </c:pt>
              </c:strCache>
            </c:strRef>
          </c:cat>
          <c:val>
            <c:numRef>
              <c:f>'Profitability Dashboard'!$AC$24:$AC$26</c:f>
              <c:numCache>
                <c:formatCode>0.00%</c:formatCode>
                <c:ptCount val="3"/>
                <c:pt idx="0">
                  <c:v>0.42298958000000003</c:v>
                </c:pt>
                <c:pt idx="1">
                  <c:v>0.51908734000000001</c:v>
                </c:pt>
                <c:pt idx="2">
                  <c:v>0.47611750999999997</c:v>
                </c:pt>
              </c:numCache>
            </c:numRef>
          </c:val>
          <c:smooth val="0"/>
          <c:extLst>
            <c:ext xmlns:c16="http://schemas.microsoft.com/office/drawing/2014/chart" uri="{C3380CC4-5D6E-409C-BE32-E72D297353CC}">
              <c16:uniqueId val="{00000004-5434-F740-B805-335BAE02A0EA}"/>
            </c:ext>
          </c:extLst>
        </c:ser>
        <c:dLbls>
          <c:showLegendKey val="0"/>
          <c:showVal val="0"/>
          <c:showCatName val="0"/>
          <c:showSerName val="0"/>
          <c:showPercent val="0"/>
          <c:showBubbleSize val="0"/>
        </c:dLbls>
        <c:marker val="1"/>
        <c:smooth val="0"/>
        <c:axId val="1266712672"/>
        <c:axId val="1280195120"/>
      </c:lineChart>
      <c:catAx>
        <c:axId val="12667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95120"/>
        <c:crosses val="autoZero"/>
        <c:auto val="1"/>
        <c:lblAlgn val="ctr"/>
        <c:lblOffset val="100"/>
        <c:noMultiLvlLbl val="0"/>
      </c:catAx>
      <c:valAx>
        <c:axId val="1280195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7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'Profitability Dashboard'!$AB$30:$AB$31</c:f>
              <c:strCache>
                <c:ptCount val="1"/>
                <c:pt idx="0">
                  <c:v>Big W</c:v>
                </c:pt>
              </c:strCache>
            </c:strRef>
          </c:tx>
          <c:spPr>
            <a:solidFill>
              <a:schemeClr val="accent1"/>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Dashboard'!$AB$32:$AB$35</c:f>
              <c:numCache>
                <c:formatCode>0.00%</c:formatCode>
                <c:ptCount val="4"/>
                <c:pt idx="0">
                  <c:v>4.5703839999999996E-2</c:v>
                </c:pt>
                <c:pt idx="1">
                  <c:v>2.9121320000000003E-2</c:v>
                </c:pt>
                <c:pt idx="2">
                  <c:v>6.7736840000000006E-2</c:v>
                </c:pt>
                <c:pt idx="3">
                  <c:v>0.11289474000000001</c:v>
                </c:pt>
              </c:numCache>
            </c:numRef>
          </c:val>
          <c:extLst>
            <c:ext xmlns:c16="http://schemas.microsoft.com/office/drawing/2014/chart" uri="{C3380CC4-5D6E-409C-BE32-E72D297353CC}">
              <c16:uniqueId val="{0000000A-6A8D-5F43-A511-B64DF02FC3BB}"/>
            </c:ext>
          </c:extLst>
        </c:ser>
        <c:ser>
          <c:idx val="1"/>
          <c:order val="1"/>
          <c:tx>
            <c:strRef>
              <c:f>'Profitability Dashboard'!$AC$30:$AC$31</c:f>
              <c:strCache>
                <c:ptCount val="1"/>
                <c:pt idx="0">
                  <c:v>KMART</c:v>
                </c:pt>
              </c:strCache>
            </c:strRef>
          </c:tx>
          <c:spPr>
            <a:solidFill>
              <a:schemeClr val="accent2"/>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Dashboard'!$AC$32:$AC$35</c:f>
              <c:numCache>
                <c:formatCode>0.00%</c:formatCode>
                <c:ptCount val="4"/>
                <c:pt idx="0">
                  <c:v>0.20194382999999999</c:v>
                </c:pt>
                <c:pt idx="1">
                  <c:v>0.12066398</c:v>
                </c:pt>
                <c:pt idx="2">
                  <c:v>0.24177561999999997</c:v>
                </c:pt>
                <c:pt idx="3">
                  <c:v>0.40295940000000002</c:v>
                </c:pt>
              </c:numCache>
            </c:numRef>
          </c:val>
          <c:extLst>
            <c:ext xmlns:c16="http://schemas.microsoft.com/office/drawing/2014/chart" uri="{C3380CC4-5D6E-409C-BE32-E72D297353CC}">
              <c16:uniqueId val="{00000004-28D4-4880-95DD-56A3D7FE19EC}"/>
            </c:ext>
          </c:extLst>
        </c:ser>
        <c:ser>
          <c:idx val="2"/>
          <c:order val="2"/>
          <c:tx>
            <c:strRef>
              <c:f>'Profitability Dashboard'!$AD$30:$AD$31</c:f>
              <c:strCache>
                <c:ptCount val="1"/>
                <c:pt idx="0">
                  <c:v>Target</c:v>
                </c:pt>
              </c:strCache>
            </c:strRef>
          </c:tx>
          <c:spPr>
            <a:solidFill>
              <a:schemeClr val="accent3"/>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Dashboard'!$AD$32:$AD$35</c:f>
              <c:numCache>
                <c:formatCode>0.00%</c:formatCode>
                <c:ptCount val="4"/>
                <c:pt idx="0">
                  <c:v>0.14062634000000002</c:v>
                </c:pt>
                <c:pt idx="1">
                  <c:v>0.10239045000000001</c:v>
                </c:pt>
                <c:pt idx="2">
                  <c:v>0.19802186999999999</c:v>
                </c:pt>
                <c:pt idx="3">
                  <c:v>0.77070050000000001</c:v>
                </c:pt>
              </c:numCache>
            </c:numRef>
          </c:val>
          <c:extLst>
            <c:ext xmlns:c16="http://schemas.microsoft.com/office/drawing/2014/chart" uri="{C3380CC4-5D6E-409C-BE32-E72D297353CC}">
              <c16:uniqueId val="{00000005-28D4-4880-95DD-56A3D7FE19EC}"/>
            </c:ext>
          </c:extLst>
        </c:ser>
        <c:ser>
          <c:idx val="3"/>
          <c:order val="3"/>
          <c:tx>
            <c:strRef>
              <c:f>'Profitability Dashboard'!$AE$30:$AE$31</c:f>
              <c:strCache>
                <c:ptCount val="1"/>
                <c:pt idx="0">
                  <c:v>The Reject Shop</c:v>
                </c:pt>
              </c:strCache>
            </c:strRef>
          </c:tx>
          <c:spPr>
            <a:solidFill>
              <a:schemeClr val="accent4"/>
            </a:solidFill>
            <a:ln>
              <a:noFill/>
            </a:ln>
            <a:effectLst/>
          </c:spPr>
          <c:invertIfNegative val="0"/>
          <c:cat>
            <c:strRef>
              <c:f>'Profitability Dashboard'!$AA$32:$AA$35</c:f>
              <c:strCache>
                <c:ptCount val="4"/>
                <c:pt idx="0">
                  <c:v>EBIT Margin</c:v>
                </c:pt>
                <c:pt idx="1">
                  <c:v>Net Profit Margin</c:v>
                </c:pt>
                <c:pt idx="2">
                  <c:v>ROA</c:v>
                </c:pt>
                <c:pt idx="3">
                  <c:v>ROE</c:v>
                </c:pt>
              </c:strCache>
            </c:strRef>
          </c:cat>
          <c:val>
            <c:numRef>
              <c:f>'Profitability Dashboard'!$AE$32:$AE$35</c:f>
              <c:numCache>
                <c:formatCode>0.00%</c:formatCode>
                <c:ptCount val="4"/>
                <c:pt idx="0">
                  <c:v>6.9042549999999994E-2</c:v>
                </c:pt>
                <c:pt idx="1">
                  <c:v>2.8024819999999999E-2</c:v>
                </c:pt>
                <c:pt idx="2">
                  <c:v>4.8633209999999996E-2</c:v>
                </c:pt>
                <c:pt idx="3">
                  <c:v>0.13163979000000001</c:v>
                </c:pt>
              </c:numCache>
            </c:numRef>
          </c:val>
          <c:extLst>
            <c:ext xmlns:c16="http://schemas.microsoft.com/office/drawing/2014/chart" uri="{C3380CC4-5D6E-409C-BE32-E72D297353CC}">
              <c16:uniqueId val="{00000006-28D4-4880-95DD-56A3D7FE19EC}"/>
            </c:ext>
          </c:extLst>
        </c:ser>
        <c:dLbls>
          <c:showLegendKey val="0"/>
          <c:showVal val="0"/>
          <c:showCatName val="0"/>
          <c:showSerName val="0"/>
          <c:showPercent val="0"/>
          <c:showBubbleSize val="0"/>
        </c:dLbls>
        <c:gapWidth val="219"/>
        <c:overlap val="100"/>
        <c:axId val="1279831488"/>
        <c:axId val="1267701296"/>
      </c:barChart>
      <c:catAx>
        <c:axId val="127983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701296"/>
        <c:crosses val="autoZero"/>
        <c:auto val="1"/>
        <c:lblAlgn val="ctr"/>
        <c:lblOffset val="100"/>
        <c:noMultiLvlLbl val="0"/>
      </c:catAx>
      <c:valAx>
        <c:axId val="1267701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[ACCT2242 GA - Wed,3pm Group4.xlsx]Profitability Dashboard!Prob 5</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9559705172743"/>
          <c:y val="5.7592290362922488E-2"/>
          <c:w val="0.56914072245664438"/>
          <c:h val="0.88224317181110956"/>
        </c:manualLayout>
      </c:layout>
      <c:radarChart>
        <c:radarStyle val="marker"/>
        <c:varyColors val="0"/>
        <c:ser>
          <c:idx val="0"/>
          <c:order val="0"/>
          <c:tx>
            <c:strRef>
              <c:f>'Profitability Dashboard'!$AB$39:$AB$40</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'Profitability Dashboard'!$AA$41:$AA$44</c:f>
              <c:strCache>
                <c:ptCount val="4"/>
                <c:pt idx="0">
                  <c:v>EBIT Margin</c:v>
                </c:pt>
                <c:pt idx="1">
                  <c:v>Net Profit Margin</c:v>
                </c:pt>
                <c:pt idx="2">
                  <c:v>ROA</c:v>
                </c:pt>
                <c:pt idx="3">
                  <c:v>ROE</c:v>
                </c:pt>
              </c:strCache>
            </c:strRef>
          </c:cat>
          <c:val>
            <c:numRef>
              <c:f>'Profitability Dashboard'!$AB$41:$AB$44</c:f>
              <c:numCache>
                <c:formatCode>0.00%</c:formatCode>
                <c:ptCount val="4"/>
                <c:pt idx="0">
                  <c:v>2.2522449999999999E-2</c:v>
                </c:pt>
                <c:pt idx="1">
                  <c:v>1.0023230000000001E-2</c:v>
                </c:pt>
                <c:pt idx="2">
                  <c:v>1.799512E-2</c:v>
                </c:pt>
                <c:pt idx="3">
                  <c:v>4.7383480000000006E-2</c:v>
                </c:pt>
              </c:numCache>
            </c:numRef>
          </c:val>
          <c:extLst>
            <c:ext xmlns:c16="http://schemas.microsoft.com/office/drawing/2014/chart" uri="{C3380CC4-5D6E-409C-BE32-E72D297353CC}">
              <c16:uniqueId val="{00000004-99C8-E44E-A280-57DBD77DC10F}"/>
            </c:ext>
          </c:extLst>
        </c:ser>
        <c:ser>
          <c:idx val="1"/>
          <c:order val="1"/>
          <c:tx>
            <c:strRef>
              <c:f>'Profitability Dashboard'!$AC$39:$AC$40</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'Profitability Dashboard'!$AA$41:$AA$44</c:f>
              <c:strCache>
                <c:ptCount val="4"/>
                <c:pt idx="0">
                  <c:v>EBIT Margin</c:v>
                </c:pt>
                <c:pt idx="1">
                  <c:v>Net Profit Margin</c:v>
                </c:pt>
                <c:pt idx="2">
                  <c:v>ROA</c:v>
                </c:pt>
                <c:pt idx="3">
                  <c:v>ROE</c:v>
                </c:pt>
              </c:strCache>
            </c:strRef>
          </c:cat>
          <c:val>
            <c:numRef>
              <c:f>'Profitability Dashboard'!$AC$41:$AC$44</c:f>
              <c:numCache>
                <c:formatCode>0.00%</c:formatCode>
                <c:ptCount val="4"/>
                <c:pt idx="0">
                  <c:v>2.7478729999999996E-2</c:v>
                </c:pt>
                <c:pt idx="1">
                  <c:v>1.2490879999999999E-2</c:v>
                </c:pt>
                <c:pt idx="2">
                  <c:v>2.1116950000000002E-2</c:v>
                </c:pt>
                <c:pt idx="3">
                  <c:v>5.7479269999999999E-2</c:v>
                </c:pt>
              </c:numCache>
            </c:numRef>
          </c:val>
          <c:extLst>
            <c:ext xmlns:c16="http://schemas.microsoft.com/office/drawing/2014/chart" uri="{C3380CC4-5D6E-409C-BE32-E72D297353CC}">
              <c16:uniqueId val="{00000003-4F01-46B0-867D-8D0D6DF043FD}"/>
            </c:ext>
          </c:extLst>
        </c:ser>
        <c:ser>
          <c:idx val="2"/>
          <c:order val="2"/>
          <c:tx>
            <c:strRef>
              <c:f>'Profitability Dashboard'!$AD$39:$AD$40</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'Profitability Dashboard'!$AA$41:$AA$44</c:f>
              <c:strCache>
                <c:ptCount val="4"/>
                <c:pt idx="0">
                  <c:v>EBIT Margin</c:v>
                </c:pt>
                <c:pt idx="1">
                  <c:v>Net Profit Margin</c:v>
                </c:pt>
                <c:pt idx="2">
                  <c:v>ROA</c:v>
                </c:pt>
                <c:pt idx="3">
                  <c:v>ROE</c:v>
                </c:pt>
              </c:strCache>
            </c:strRef>
          </c:cat>
          <c:val>
            <c:numRef>
              <c:f>'Profitability Dashboard'!$AD$41:$AD$44</c:f>
              <c:numCache>
                <c:formatCode>0.00%</c:formatCode>
                <c:ptCount val="4"/>
                <c:pt idx="0">
                  <c:v>1.9041369999999998E-2</c:v>
                </c:pt>
                <c:pt idx="1">
                  <c:v>5.5107099999999994E-3</c:v>
                </c:pt>
                <c:pt idx="2">
                  <c:v>9.5211400000000009E-3</c:v>
                </c:pt>
                <c:pt idx="3">
                  <c:v>2.6777039999999998E-2</c:v>
                </c:pt>
              </c:numCache>
            </c:numRef>
          </c:val>
          <c:extLst>
            <c:ext xmlns:c16="http://schemas.microsoft.com/office/drawing/2014/chart" uri="{C3380CC4-5D6E-409C-BE32-E72D297353CC}">
              <c16:uniqueId val="{00000004-4F01-46B0-867D-8D0D6DF043FD}"/>
            </c:ext>
          </c:extLst>
        </c:ser>
        <c:dLbls>
          <c:showLegendKey val="0"/>
          <c:showVal val="0"/>
          <c:showCatName val="0"/>
          <c:showSerName val="0"/>
          <c:showPercent val="0"/>
          <c:showBubbleSize val="0"/>
        </c:dLbls>
        <c:axId val="1572332592"/>
        <c:axId val="1730336528"/>
      </c:radarChart>
      <c:catAx>
        <c:axId val="157233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36528"/>
        <c:crosses val="autoZero"/>
        <c:auto val="1"/>
        <c:lblAlgn val="ctr"/>
        <c:lblOffset val="100"/>
        <c:noMultiLvlLbl val="0"/>
      </c:catAx>
      <c:valAx>
        <c:axId val="1730336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3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447675</xdr:colOff>
      <xdr:row>0</xdr:row>
      <xdr:rowOff>114300</xdr:rowOff>
    </xdr:from>
    <xdr:to>
      <xdr:col>7</xdr:col>
      <xdr:colOff>857250</xdr:colOff>
      <xdr:row>19</xdr:row>
      <xdr:rowOff>104775</xdr:rowOff>
    </xdr:to>
    <xdr:graphicFrame macro="">
      <xdr:nvGraphicFramePr>
        <xdr:cNvPr id="18" name="Chart 1">
          <a:extLst>
            <a:ext uri="{FF2B5EF4-FFF2-40B4-BE49-F238E27FC236}">
              <a16:creationId xmlns:a16="http://schemas.microsoft.com/office/drawing/2014/main" id="{870CD9AC-412D-45A2-A2B5-1A759F5C0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1057275</xdr:colOff>
      <xdr:row>0</xdr:row>
      <xdr:rowOff>161925</xdr:rowOff>
    </xdr:from>
    <xdr:to>
      <xdr:col>15</xdr:col>
      <xdr:colOff>552450</xdr:colOff>
      <xdr:row>19</xdr:row>
      <xdr:rowOff>133350</xdr:rowOff>
    </xdr:to>
    <xdr:graphicFrame macro="">
      <xdr:nvGraphicFramePr>
        <xdr:cNvPr id="21" name="Chart 2">
          <a:extLst>
            <a:ext uri="{FF2B5EF4-FFF2-40B4-BE49-F238E27FC236}">
              <a16:creationId xmlns:a16="http://schemas.microsoft.com/office/drawing/2014/main" id="{E8034B72-11AF-48A7-B8C6-EE91C5664F7B}"/>
            </a:ext>
            <a:ext uri="{147F2762-F138-4A5C-976F-8EAC2B608ADB}">
              <a16:predDERef xmlns:a16="http://schemas.microsoft.com/office/drawing/2014/main" pred="{870CD9AC-412D-45A2-A2B5-1A759F5C0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409575</xdr:colOff>
      <xdr:row>28</xdr:row>
      <xdr:rowOff>114300</xdr:rowOff>
    </xdr:from>
    <xdr:to>
      <xdr:col>14</xdr:col>
      <xdr:colOff>371475</xdr:colOff>
      <xdr:row>48</xdr:row>
      <xdr:rowOff>114300</xdr:rowOff>
    </xdr:to>
    <xdr:graphicFrame macro="">
      <xdr:nvGraphicFramePr>
        <xdr:cNvPr id="30" name="Chart 4">
          <a:extLst>
            <a:ext uri="{FF2B5EF4-FFF2-40B4-BE49-F238E27FC236}">
              <a16:creationId xmlns:a16="http://schemas.microsoft.com/office/drawing/2014/main" id="{FAC315F9-5357-4116-BC49-73F1D2E63CD3}"/>
            </a:ext>
            <a:ext uri="{147F2762-F138-4A5C-976F-8EAC2B608ADB}">
              <a16:predDERef xmlns:a16="http://schemas.microsoft.com/office/drawing/2014/main" pred="{E8034B72-11AF-48A7-B8C6-EE91C5664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66675</xdr:colOff>
      <xdr:row>7</xdr:row>
      <xdr:rowOff>133350</xdr:rowOff>
    </xdr:from>
    <xdr:to>
      <xdr:col>17</xdr:col>
      <xdr:colOff>333375</xdr:colOff>
      <xdr:row>14</xdr:row>
      <xdr:rowOff>57150</xdr:rowOff>
    </xdr:to>
    <mc:AlternateContent xmlns:mc="http://schemas.openxmlformats.org/markup-compatibility/2006" xmlns:a14="http://schemas.microsoft.com/office/drawing/2010/main">
      <mc:Choice Requires="a14">
        <xdr:graphicFrame macro="">
          <xdr:nvGraphicFramePr>
            <xdr:cNvPr id="33" name="Company 1">
              <a:extLst>
                <a:ext uri="{FF2B5EF4-FFF2-40B4-BE49-F238E27FC236}">
                  <a16:creationId xmlns:a16="http://schemas.microsoft.com/office/drawing/2014/main" id="{71AE7250-6C79-B048-85CB-046D10611C76}"/>
                </a:ext>
                <a:ext uri="{147F2762-F138-4A5C-976F-8EAC2B608ADB}">
                  <a16:predDERef xmlns:a16="http://schemas.microsoft.com/office/drawing/2014/main" pred="{FAC315F9-5357-4116-BC49-73F1D2E63CD3}"/>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6394545" y="187614"/>
              <a:ext cx="1769322" cy="23738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xdr:colOff>
      <xdr:row>0</xdr:row>
      <xdr:rowOff>104775</xdr:rowOff>
    </xdr:from>
    <xdr:to>
      <xdr:col>17</xdr:col>
      <xdr:colOff>333375</xdr:colOff>
      <xdr:row>7</xdr:row>
      <xdr:rowOff>0</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5956B006-CD59-614B-9393-B8E1EF3F5337}"/>
                </a:ext>
                <a:ext uri="{147F2762-F138-4A5C-976F-8EAC2B608ADB}">
                  <a16:predDERef xmlns:a16="http://schemas.microsoft.com/office/drawing/2014/main" pred="{71AE7250-6C79-B048-85CB-046D10611C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847954" y="187614"/>
              <a:ext cx="1854835" cy="23738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638175</xdr:colOff>
      <xdr:row>28</xdr:row>
      <xdr:rowOff>123825</xdr:rowOff>
    </xdr:from>
    <xdr:to>
      <xdr:col>22</xdr:col>
      <xdr:colOff>762000</xdr:colOff>
      <xdr:row>48</xdr:row>
      <xdr:rowOff>123825</xdr:rowOff>
    </xdr:to>
    <xdr:graphicFrame macro="">
      <xdr:nvGraphicFramePr>
        <xdr:cNvPr id="31" name="P5">
          <a:extLst>
            <a:ext uri="{FF2B5EF4-FFF2-40B4-BE49-F238E27FC236}">
              <a16:creationId xmlns:a16="http://schemas.microsoft.com/office/drawing/2014/main" id="{6C0374AE-0A0E-AF41-BCE9-120F54346E2F}"/>
            </a:ext>
            <a:ext uri="{147F2762-F138-4A5C-976F-8EAC2B608ADB}">
              <a16:predDERef xmlns:a16="http://schemas.microsoft.com/office/drawing/2014/main" pred="{5956B006-CD59-614B-9393-B8E1EF3F5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323850</xdr:colOff>
      <xdr:row>28</xdr:row>
      <xdr:rowOff>114300</xdr:rowOff>
    </xdr:from>
    <xdr:to>
      <xdr:col>7</xdr:col>
      <xdr:colOff>85725</xdr:colOff>
      <xdr:row>48</xdr:row>
      <xdr:rowOff>85725</xdr:rowOff>
    </xdr:to>
    <xdr:graphicFrame macro="">
      <xdr:nvGraphicFramePr>
        <xdr:cNvPr id="27" name="P3">
          <a:extLst>
            <a:ext uri="{FF2B5EF4-FFF2-40B4-BE49-F238E27FC236}">
              <a16:creationId xmlns:a16="http://schemas.microsoft.com/office/drawing/2014/main" id="{EBD28EF0-0438-B741-93E8-1FDE4AA883EE}"/>
            </a:ext>
            <a:ext uri="{147F2762-F138-4A5C-976F-8EAC2B608ADB}">
              <a16:predDERef xmlns:a16="http://schemas.microsoft.com/office/drawing/2014/main" pred="{6C0374AE-0A0E-AF41-BCE9-120F54346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57150</xdr:colOff>
      <xdr:row>14</xdr:row>
      <xdr:rowOff>171450</xdr:rowOff>
    </xdr:from>
    <xdr:to>
      <xdr:col>17</xdr:col>
      <xdr:colOff>323850</xdr:colOff>
      <xdr:row>19</xdr:row>
      <xdr:rowOff>152400</xdr:rowOff>
    </xdr:to>
    <mc:AlternateContent xmlns:mc="http://schemas.openxmlformats.org/markup-compatibility/2006" xmlns:a14="http://schemas.microsoft.com/office/drawing/2010/main">
      <mc:Choice Requires="a14">
        <xdr:graphicFrame macro="">
          <xdr:nvGraphicFramePr>
            <xdr:cNvPr id="32" name="Metric">
              <a:extLst>
                <a:ext uri="{FF2B5EF4-FFF2-40B4-BE49-F238E27FC236}">
                  <a16:creationId xmlns:a16="http://schemas.microsoft.com/office/drawing/2014/main" id="{7DC24045-4227-CD45-B577-D746675DC3C1}"/>
                </a:ext>
                <a:ext uri="{147F2762-F138-4A5C-976F-8EAC2B608ADB}">
                  <a16:predDERef xmlns:a16="http://schemas.microsoft.com/office/drawing/2014/main" pred="{EBD28EF0-0438-B741-93E8-1FDE4AA883EE}"/>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3302000" y="4127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390525</xdr:colOff>
      <xdr:row>0</xdr:row>
      <xdr:rowOff>0</xdr:rowOff>
    </xdr:from>
    <xdr:to>
      <xdr:col>10</xdr:col>
      <xdr:colOff>476250</xdr:colOff>
      <xdr:row>12</xdr:row>
      <xdr:rowOff>66675</xdr:rowOff>
    </xdr:to>
    <xdr:graphicFrame macro="">
      <xdr:nvGraphicFramePr>
        <xdr:cNvPr id="3" name="Chart 4">
          <a:extLst>
            <a:ext uri="{FF2B5EF4-FFF2-40B4-BE49-F238E27FC236}">
              <a16:creationId xmlns:a16="http://schemas.microsoft.com/office/drawing/2014/main" id="{D597D7CD-FAEF-5D79-E36A-4A4029B40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13</xdr:row>
      <xdr:rowOff>133350</xdr:rowOff>
    </xdr:from>
    <xdr:to>
      <xdr:col>9</xdr:col>
      <xdr:colOff>1104900</xdr:colOff>
      <xdr:row>25</xdr:row>
      <xdr:rowOff>114300</xdr:rowOff>
    </xdr:to>
    <xdr:graphicFrame macro="">
      <xdr:nvGraphicFramePr>
        <xdr:cNvPr id="6" name="Chart 6">
          <a:extLst>
            <a:ext uri="{FF2B5EF4-FFF2-40B4-BE49-F238E27FC236}">
              <a16:creationId xmlns:a16="http://schemas.microsoft.com/office/drawing/2014/main" id="{E0D27E5D-FC64-20E7-F777-AF8943110920}"/>
            </a:ext>
            <a:ext uri="{147F2762-F138-4A5C-976F-8EAC2B608ADB}">
              <a16:predDERef xmlns:a16="http://schemas.microsoft.com/office/drawing/2014/main" pred="{D597D7CD-FAEF-5D79-E36A-4A4029B40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13</xdr:row>
      <xdr:rowOff>57150</xdr:rowOff>
    </xdr:from>
    <xdr:to>
      <xdr:col>5</xdr:col>
      <xdr:colOff>542925</xdr:colOff>
      <xdr:row>25</xdr:row>
      <xdr:rowOff>95250</xdr:rowOff>
    </xdr:to>
    <xdr:graphicFrame macro="">
      <xdr:nvGraphicFramePr>
        <xdr:cNvPr id="4" name="Chart 8">
          <a:extLst>
            <a:ext uri="{FF2B5EF4-FFF2-40B4-BE49-F238E27FC236}">
              <a16:creationId xmlns:a16="http://schemas.microsoft.com/office/drawing/2014/main" id="{68FA47F4-D83B-6BA6-CDD7-6D7B3D4D3A34}"/>
            </a:ext>
            <a:ext uri="{147F2762-F138-4A5C-976F-8EAC2B608ADB}">
              <a16:predDERef xmlns:a16="http://schemas.microsoft.com/office/drawing/2014/main" pred="{E0D27E5D-FC64-20E7-F777-AF8943110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1200150</xdr:colOff>
      <xdr:row>13</xdr:row>
      <xdr:rowOff>133350</xdr:rowOff>
    </xdr:from>
    <xdr:to>
      <xdr:col>14</xdr:col>
      <xdr:colOff>1019175</xdr:colOff>
      <xdr:row>25</xdr:row>
      <xdr:rowOff>123825</xdr:rowOff>
    </xdr:to>
    <xdr:graphicFrame macro="">
      <xdr:nvGraphicFramePr>
        <xdr:cNvPr id="8" name="Chart 9">
          <a:extLst>
            <a:ext uri="{FF2B5EF4-FFF2-40B4-BE49-F238E27FC236}">
              <a16:creationId xmlns:a16="http://schemas.microsoft.com/office/drawing/2014/main" id="{FB9DA1A9-19AC-81AD-5ED1-E50697B27CDA}"/>
            </a:ext>
            <a:ext uri="{147F2762-F138-4A5C-976F-8EAC2B608ADB}">
              <a16:predDERef xmlns:a16="http://schemas.microsoft.com/office/drawing/2014/main" pred="{68FA47F4-D83B-6BA6-CDD7-6D7B3D4D3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306047</xdr:colOff>
      <xdr:row>12</xdr:row>
      <xdr:rowOff>33728</xdr:rowOff>
    </xdr:from>
    <xdr:to>
      <xdr:col>7</xdr:col>
      <xdr:colOff>291474</xdr:colOff>
      <xdr:row>32</xdr:row>
      <xdr:rowOff>166557</xdr:rowOff>
    </xdr:to>
    <xdr:graphicFrame macro="">
      <xdr:nvGraphicFramePr>
        <xdr:cNvPr id="12" name="Chart 11">
          <a:extLst>
            <a:ext uri="{FF2B5EF4-FFF2-40B4-BE49-F238E27FC236}">
              <a16:creationId xmlns:a16="http://schemas.microsoft.com/office/drawing/2014/main" id="{461C1307-4515-3526-E01A-9A749D881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104515</xdr:colOff>
      <xdr:row>2</xdr:row>
      <xdr:rowOff>145738</xdr:rowOff>
    </xdr:from>
    <xdr:to>
      <xdr:col>18</xdr:col>
      <xdr:colOff>42055</xdr:colOff>
      <xdr:row>5</xdr:row>
      <xdr:rowOff>208198</xdr:rowOff>
    </xdr:to>
    <mc:AlternateContent xmlns:mc="http://schemas.openxmlformats.org/markup-compatibility/2006" xmlns:sle15="http://schemas.microsoft.com/office/drawing/2012/slicer">
      <mc:Choice Requires="sle15">
        <xdr:graphicFrame macro="">
          <xdr:nvGraphicFramePr>
            <xdr:cNvPr id="13" name="Period">
              <a:extLst>
                <a:ext uri="{FF2B5EF4-FFF2-40B4-BE49-F238E27FC236}">
                  <a16:creationId xmlns:a16="http://schemas.microsoft.com/office/drawing/2014/main" id="{5B994812-3D2D-7D52-A793-8DA5782E9711}"/>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10139181" y="520492"/>
              <a:ext cx="3934917" cy="106180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270656</xdr:colOff>
      <xdr:row>11</xdr:row>
      <xdr:rowOff>124918</xdr:rowOff>
    </xdr:from>
    <xdr:to>
      <xdr:col>19</xdr:col>
      <xdr:colOff>208198</xdr:colOff>
      <xdr:row>32</xdr:row>
      <xdr:rowOff>41640</xdr:rowOff>
    </xdr:to>
    <xdr:graphicFrame macro="">
      <xdr:nvGraphicFramePr>
        <xdr:cNvPr id="18" name="Chart 17">
          <a:extLst>
            <a:ext uri="{FF2B5EF4-FFF2-40B4-BE49-F238E27FC236}">
              <a16:creationId xmlns:a16="http://schemas.microsoft.com/office/drawing/2014/main" id="{EC1D2047-210B-5D2A-72F5-6C3A9894D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124918</xdr:colOff>
      <xdr:row>12</xdr:row>
      <xdr:rowOff>41640</xdr:rowOff>
    </xdr:from>
    <xdr:to>
      <xdr:col>31</xdr:col>
      <xdr:colOff>104098</xdr:colOff>
      <xdr:row>32</xdr:row>
      <xdr:rowOff>104099</xdr:rowOff>
    </xdr:to>
    <xdr:graphicFrame macro="">
      <xdr:nvGraphicFramePr>
        <xdr:cNvPr id="19" name="Chart 18">
          <a:extLst>
            <a:ext uri="{FF2B5EF4-FFF2-40B4-BE49-F238E27FC236}">
              <a16:creationId xmlns:a16="http://schemas.microsoft.com/office/drawing/2014/main" id="{70BD38E1-EBEB-C200-32B9-F292B563E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728690</xdr:colOff>
      <xdr:row>40</xdr:row>
      <xdr:rowOff>41640</xdr:rowOff>
    </xdr:from>
    <xdr:to>
      <xdr:col>8</xdr:col>
      <xdr:colOff>271072</xdr:colOff>
      <xdr:row>46</xdr:row>
      <xdr:rowOff>83280</xdr:rowOff>
    </xdr:to>
    <mc:AlternateContent xmlns:mc="http://schemas.openxmlformats.org/markup-compatibility/2006" xmlns:sle15="http://schemas.microsoft.com/office/drawing/2012/slicer">
      <mc:Choice Requires="sle15">
        <xdr:graphicFrame macro="">
          <xdr:nvGraphicFramePr>
            <xdr:cNvPr id="21" name="Period 1">
              <a:extLst>
                <a:ext uri="{FF2B5EF4-FFF2-40B4-BE49-F238E27FC236}">
                  <a16:creationId xmlns:a16="http://schemas.microsoft.com/office/drawing/2014/main" id="{DEC04EAD-2C8A-A36B-11AD-8692F9473D87}"/>
                </a:ext>
              </a:extLst>
            </xdr:cNvPr>
            <xdr:cNvGraphicFramePr/>
          </xdr:nvGraphicFramePr>
          <xdr:xfrm>
            <a:off x="0" y="0"/>
            <a:ext cx="0" cy="0"/>
          </xdr:xfrm>
          <a:graphic>
            <a:graphicData uri="http://schemas.microsoft.com/office/drawing/2010/slicer">
              <sle:slicer xmlns:sle="http://schemas.microsoft.com/office/drawing/2010/slicer" name="Period 1"/>
            </a:graphicData>
          </a:graphic>
        </xdr:graphicFrame>
      </mc:Choice>
      <mc:Fallback xmlns="">
        <xdr:sp macro="" textlink="">
          <xdr:nvSpPr>
            <xdr:cNvPr id="0" name=""/>
            <xdr:cNvSpPr>
              <a:spLocks noTextEdit="1"/>
            </xdr:cNvSpPr>
          </xdr:nvSpPr>
          <xdr:spPr>
            <a:xfrm>
              <a:off x="4538690" y="8702624"/>
              <a:ext cx="3102130" cy="116590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104099</xdr:colOff>
      <xdr:row>37</xdr:row>
      <xdr:rowOff>166557</xdr:rowOff>
    </xdr:from>
    <xdr:to>
      <xdr:col>21</xdr:col>
      <xdr:colOff>312295</xdr:colOff>
      <xdr:row>62</xdr:row>
      <xdr:rowOff>104098</xdr:rowOff>
    </xdr:to>
    <xdr:graphicFrame macro="">
      <xdr:nvGraphicFramePr>
        <xdr:cNvPr id="22" name="Chart 21">
          <a:extLst>
            <a:ext uri="{FF2B5EF4-FFF2-40B4-BE49-F238E27FC236}">
              <a16:creationId xmlns:a16="http://schemas.microsoft.com/office/drawing/2014/main" id="{274F5AAE-919D-DD55-3CA8-4B960C775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14</xdr:row>
      <xdr:rowOff>161925</xdr:rowOff>
    </xdr:from>
    <xdr:to>
      <xdr:col>11</xdr:col>
      <xdr:colOff>38100</xdr:colOff>
      <xdr:row>30</xdr:row>
      <xdr:rowOff>9525</xdr:rowOff>
    </xdr:to>
    <xdr:graphicFrame macro="">
      <xdr:nvGraphicFramePr>
        <xdr:cNvPr id="10" name="Chart 1">
          <a:extLst>
            <a:ext uri="{FF2B5EF4-FFF2-40B4-BE49-F238E27FC236}">
              <a16:creationId xmlns:a16="http://schemas.microsoft.com/office/drawing/2014/main" id="{8DF12AF2-0A73-8AB5-608B-E46811C0C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xdr:colOff>
      <xdr:row>15</xdr:row>
      <xdr:rowOff>9525</xdr:rowOff>
    </xdr:from>
    <xdr:to>
      <xdr:col>16</xdr:col>
      <xdr:colOff>819150</xdr:colOff>
      <xdr:row>30</xdr:row>
      <xdr:rowOff>38100</xdr:rowOff>
    </xdr:to>
    <xdr:graphicFrame macro="">
      <xdr:nvGraphicFramePr>
        <xdr:cNvPr id="2" name="Chart 1">
          <a:extLst>
            <a:ext uri="{FF2B5EF4-FFF2-40B4-BE49-F238E27FC236}">
              <a16:creationId xmlns:a16="http://schemas.microsoft.com/office/drawing/2014/main" id="{FBD1A3AB-8B85-E1BD-731A-B7E9D899DA1F}"/>
            </a:ext>
            <a:ext uri="{147F2762-F138-4A5C-976F-8EAC2B608ADB}">
              <a16:predDERef xmlns:a16="http://schemas.microsoft.com/office/drawing/2014/main" pred="{8DF12AF2-0A73-8AB5-608B-E46811C0C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817190</xdr:colOff>
      <xdr:row>32</xdr:row>
      <xdr:rowOff>88743</xdr:rowOff>
    </xdr:from>
    <xdr:to>
      <xdr:col>9</xdr:col>
      <xdr:colOff>15303</xdr:colOff>
      <xdr:row>45</xdr:row>
      <xdr:rowOff>140172</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E12CB681-09AE-809C-ABFA-0205975B27A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64104" y="6109484"/>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111635</xdr:colOff>
      <xdr:row>32</xdr:row>
      <xdr:rowOff>10348</xdr:rowOff>
    </xdr:from>
    <xdr:to>
      <xdr:col>14</xdr:col>
      <xdr:colOff>795648</xdr:colOff>
      <xdr:row>45</xdr:row>
      <xdr:rowOff>61777</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6D911EF1-0423-DAE7-59AA-E48899279F9E}"/>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228055" y="6031089"/>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199856</xdr:colOff>
      <xdr:row>12</xdr:row>
      <xdr:rowOff>84636</xdr:rowOff>
    </xdr:from>
    <xdr:to>
      <xdr:col>8</xdr:col>
      <xdr:colOff>254000</xdr:colOff>
      <xdr:row>35</xdr:row>
      <xdr:rowOff>116416</xdr:rowOff>
    </xdr:to>
    <xdr:graphicFrame macro="">
      <xdr:nvGraphicFramePr>
        <xdr:cNvPr id="2" name="Chart 1">
          <a:extLst>
            <a:ext uri="{FF2B5EF4-FFF2-40B4-BE49-F238E27FC236}">
              <a16:creationId xmlns:a16="http://schemas.microsoft.com/office/drawing/2014/main" id="{4DA0195F-78CD-6173-DE4A-99DF998B8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324212</xdr:colOff>
      <xdr:row>12</xdr:row>
      <xdr:rowOff>92381</xdr:rowOff>
    </xdr:from>
    <xdr:to>
      <xdr:col>15</xdr:col>
      <xdr:colOff>61784</xdr:colOff>
      <xdr:row>35</xdr:row>
      <xdr:rowOff>92676</xdr:rowOff>
    </xdr:to>
    <xdr:graphicFrame macro="">
      <xdr:nvGraphicFramePr>
        <xdr:cNvPr id="3" name="Chart 2">
          <a:extLst>
            <a:ext uri="{FF2B5EF4-FFF2-40B4-BE49-F238E27FC236}">
              <a16:creationId xmlns:a16="http://schemas.microsoft.com/office/drawing/2014/main" id="{6704299B-FFEA-0DBE-8BB2-7B803F3DC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362797</xdr:colOff>
      <xdr:row>37</xdr:row>
      <xdr:rowOff>104986</xdr:rowOff>
    </xdr:from>
    <xdr:to>
      <xdr:col>2</xdr:col>
      <xdr:colOff>2381</xdr:colOff>
      <xdr:row>51</xdr:row>
      <xdr:rowOff>167428</xdr:rowOff>
    </xdr:to>
    <mc:AlternateContent xmlns:mc="http://schemas.openxmlformats.org/markup-compatibility/2006" xmlns:a14="http://schemas.microsoft.com/office/drawing/2010/main">
      <mc:Choice Requires="a14">
        <xdr:graphicFrame macro="">
          <xdr:nvGraphicFramePr>
            <xdr:cNvPr id="6" name="Metric 3">
              <a:extLst>
                <a:ext uri="{FF2B5EF4-FFF2-40B4-BE49-F238E27FC236}">
                  <a16:creationId xmlns:a16="http://schemas.microsoft.com/office/drawing/2014/main" id="{6AA31CC3-5BBD-82E2-4CEC-84698600EB20}"/>
                </a:ext>
              </a:extLst>
            </xdr:cNvPr>
            <xdr:cNvGraphicFramePr/>
          </xdr:nvGraphicFramePr>
          <xdr:xfrm>
            <a:off x="0" y="0"/>
            <a:ext cx="0" cy="0"/>
          </xdr:xfrm>
          <a:graphic>
            <a:graphicData uri="http://schemas.microsoft.com/office/drawing/2010/slicer">
              <sle:slicer xmlns:sle="http://schemas.microsoft.com/office/drawing/2010/slicer" name="Metric 3"/>
            </a:graphicData>
          </a:graphic>
        </xdr:graphicFrame>
      </mc:Choice>
      <mc:Fallback xmlns="">
        <xdr:sp macro="" textlink="">
          <xdr:nvSpPr>
            <xdr:cNvPr id="0" name=""/>
            <xdr:cNvSpPr>
              <a:spLocks noTextEdit="1"/>
            </xdr:cNvSpPr>
          </xdr:nvSpPr>
          <xdr:spPr>
            <a:xfrm>
              <a:off x="362797" y="6962986"/>
              <a:ext cx="1821363" cy="265736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853439</xdr:colOff>
      <xdr:row>37</xdr:row>
      <xdr:rowOff>119379</xdr:rowOff>
    </xdr:from>
    <xdr:to>
      <xdr:col>7</xdr:col>
      <xdr:colOff>526004</xdr:colOff>
      <xdr:row>52</xdr:row>
      <xdr:rowOff>1904</xdr:rowOff>
    </xdr:to>
    <mc:AlternateContent xmlns:mc="http://schemas.openxmlformats.org/markup-compatibility/2006" xmlns:a14="http://schemas.microsoft.com/office/drawing/2010/main">
      <mc:Choice Requires="a14">
        <xdr:graphicFrame macro="">
          <xdr:nvGraphicFramePr>
            <xdr:cNvPr id="7" name="Year 3">
              <a:extLst>
                <a:ext uri="{FF2B5EF4-FFF2-40B4-BE49-F238E27FC236}">
                  <a16:creationId xmlns:a16="http://schemas.microsoft.com/office/drawing/2014/main" id="{1355CCE4-D408-0C71-9C09-3768151A60C7}"/>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4797304" y="6977379"/>
              <a:ext cx="1812783" cy="266279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282018</xdr:colOff>
      <xdr:row>1</xdr:row>
      <xdr:rowOff>28699</xdr:rowOff>
    </xdr:from>
    <xdr:to>
      <xdr:col>16</xdr:col>
      <xdr:colOff>656832</xdr:colOff>
      <xdr:row>15</xdr:row>
      <xdr:rowOff>61628</xdr:rowOff>
    </xdr:to>
    <xdr:graphicFrame macro="">
      <xdr:nvGraphicFramePr>
        <xdr:cNvPr id="2" name="P1">
          <a:extLst>
            <a:ext uri="{FF2B5EF4-FFF2-40B4-BE49-F238E27FC236}">
              <a16:creationId xmlns:a16="http://schemas.microsoft.com/office/drawing/2014/main" id="{7CDC484D-498D-2E1F-A211-3C92736C4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254000</xdr:colOff>
      <xdr:row>15</xdr:row>
      <xdr:rowOff>183534</xdr:rowOff>
    </xdr:from>
    <xdr:to>
      <xdr:col>16</xdr:col>
      <xdr:colOff>660400</xdr:colOff>
      <xdr:row>30</xdr:row>
      <xdr:rowOff>132735</xdr:rowOff>
    </xdr:to>
    <xdr:graphicFrame macro="">
      <xdr:nvGraphicFramePr>
        <xdr:cNvPr id="19" name="P2">
          <a:extLst>
            <a:ext uri="{FF2B5EF4-FFF2-40B4-BE49-F238E27FC236}">
              <a16:creationId xmlns:a16="http://schemas.microsoft.com/office/drawing/2014/main" id="{22D31DF5-05F0-2DA3-CD95-098FC7333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397386</xdr:colOff>
      <xdr:row>33</xdr:row>
      <xdr:rowOff>11061</xdr:rowOff>
    </xdr:from>
    <xdr:to>
      <xdr:col>15</xdr:col>
      <xdr:colOff>660945</xdr:colOff>
      <xdr:row>47</xdr:row>
      <xdr:rowOff>180121</xdr:rowOff>
    </xdr:to>
    <xdr:graphicFrame macro="">
      <xdr:nvGraphicFramePr>
        <xdr:cNvPr id="21" name="P3">
          <a:extLst>
            <a:ext uri="{FF2B5EF4-FFF2-40B4-BE49-F238E27FC236}">
              <a16:creationId xmlns:a16="http://schemas.microsoft.com/office/drawing/2014/main" id="{A7A4EBC6-9B2B-9838-56F2-78E9187F3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101600</xdr:colOff>
      <xdr:row>0</xdr:row>
      <xdr:rowOff>0</xdr:rowOff>
    </xdr:from>
    <xdr:to>
      <xdr:col>29</xdr:col>
      <xdr:colOff>440267</xdr:colOff>
      <xdr:row>14</xdr:row>
      <xdr:rowOff>135467</xdr:rowOff>
    </xdr:to>
    <xdr:graphicFrame macro="">
      <xdr:nvGraphicFramePr>
        <xdr:cNvPr id="23" name="P4">
          <a:extLst>
            <a:ext uri="{FF2B5EF4-FFF2-40B4-BE49-F238E27FC236}">
              <a16:creationId xmlns:a16="http://schemas.microsoft.com/office/drawing/2014/main" id="{60DE8033-25E8-47FD-D963-370D1B331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626532</xdr:colOff>
      <xdr:row>14</xdr:row>
      <xdr:rowOff>139700</xdr:rowOff>
    </xdr:from>
    <xdr:to>
      <xdr:col>29</xdr:col>
      <xdr:colOff>533399</xdr:colOff>
      <xdr:row>32</xdr:row>
      <xdr:rowOff>33867</xdr:rowOff>
    </xdr:to>
    <xdr:graphicFrame macro="">
      <xdr:nvGraphicFramePr>
        <xdr:cNvPr id="24" name="P5">
          <a:extLst>
            <a:ext uri="{FF2B5EF4-FFF2-40B4-BE49-F238E27FC236}">
              <a16:creationId xmlns:a16="http://schemas.microsoft.com/office/drawing/2014/main" id="{57CE5D6C-03BF-23BB-0335-5B5934EE8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35.884358101852" createdVersion="8" refreshedVersion="8" minRefreshableVersion="3" recordCount="48" xr:uid="{4A037106-EAA6-4C49-9E25-27556D04E488}">
  <cacheSource type="worksheet">
    <worksheetSource ref="B1:E49" sheet="Profitability"/>
  </cacheSource>
  <cacheFields count="4">
    <cacheField name="Company" numFmtId="0">
      <sharedItems count="4">
        <s v="The Reject Shop"/>
        <s v="KMART"/>
        <s v="Target"/>
        <s v="Big W"/>
      </sharedItems>
    </cacheField>
    <cacheField name="Year" numFmtId="0">
      <sharedItems count="3">
        <s v="2022"/>
        <s v="2023"/>
        <s v="2024"/>
      </sharedItems>
    </cacheField>
    <cacheField name="Metric" numFmtId="0">
      <sharedItems count="4">
        <s v="EBIT Margin"/>
        <s v="Net Profit Margin"/>
        <s v="ROA"/>
        <s v="ROE"/>
      </sharedItems>
    </cacheField>
    <cacheField name="Value" numFmtId="10">
      <sharedItems containsSemiMixedTypes="0" containsString="0" containsNumber="1" minValue="1.9002400000000001E-3" maxValue="0.28736109999999998"/>
    </cacheField>
  </cacheFields>
  <extLst>
    <ext xmlns:x14="http://schemas.microsoft.com/office/spreadsheetml/2009/9/main" uri="{725AE2AE-9491-48be-B2B4-4EB974FC3084}">
      <x14:pivotCacheDefinition pivotCacheId="1956180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923247569444" createdVersion="8" refreshedVersion="8" minRefreshableVersion="3" recordCount="3" xr:uid="{A3535134-17EE-4B6D-A5B8-0C7B0B287052}">
  <cacheSource type="worksheet">
    <worksheetSource ref="A1:C4" sheet="Solvency Dashboard"/>
  </cacheSource>
  <cacheFields count="3">
    <cacheField name="Ratio" numFmtId="0">
      <sharedItems count="1">
        <s v="Interest Cover "/>
      </sharedItems>
    </cacheField>
    <cacheField name="Year" numFmtId="0">
      <sharedItems containsSemiMixedTypes="0" containsString="0" containsNumber="1" containsInteger="1" minValue="2022" maxValue="2024" count="3">
        <n v="2022"/>
        <n v="2023"/>
        <n v="2024"/>
      </sharedItems>
    </cacheField>
    <cacheField name="Value" numFmtId="0">
      <sharedItems containsSemiMixedTypes="0" containsString="0" containsNumber="1" minValue="0.1005712521228964" maxValue="0.1335134626025736"/>
    </cacheField>
  </cacheFields>
  <extLst>
    <ext xmlns:x14="http://schemas.microsoft.com/office/spreadsheetml/2009/9/main" uri="{725AE2AE-9491-48be-B2B4-4EB974FC3084}">
      <x14:pivotCacheDefinition pivotCacheId="146717826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6.925402546294" createdVersion="8" refreshedVersion="8" minRefreshableVersion="3" recordCount="3" xr:uid="{66E81E28-D3E0-4B1D-A14E-EDC148790327}">
  <cacheSource type="worksheet">
    <worksheetSource ref="A9:C12" sheet="Solvency Dashboard"/>
  </cacheSource>
  <cacheFields count="3">
    <cacheField name="Ratio" numFmtId="0">
      <sharedItems count="1">
        <s v="Gearing (D/E) (%) "/>
      </sharedItems>
    </cacheField>
    <cacheField name="Year" numFmtId="0">
      <sharedItems containsSemiMixedTypes="0" containsString="0" containsNumber="1" containsInteger="1" minValue="2022" maxValue="2024" count="3">
        <n v="2022"/>
        <n v="2023"/>
        <n v="2024"/>
      </sharedItems>
    </cacheField>
    <cacheField name="Value" numFmtId="0">
      <sharedItems containsSemiMixedTypes="0" containsString="0" containsNumber="1" minValue="123.11159878508849" maxValue="138.88395665645595"/>
    </cacheField>
  </cacheFields>
  <extLst>
    <ext xmlns:x14="http://schemas.microsoft.com/office/spreadsheetml/2009/9/main" uri="{725AE2AE-9491-48be-B2B4-4EB974FC3084}">
      <x14:pivotCacheDefinition pivotCacheId="141843113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 Daniel" refreshedDate="45937.733776967594" backgroundQuery="1" createdVersion="8" refreshedVersion="8" minRefreshableVersion="3" recordCount="0" supportSubquery="1" supportAdvancedDrill="1" xr:uid="{285D2C92-AA4D-403D-A8D8-B8EE39D27800}">
  <cacheSource type="external" connectionId="1"/>
  <cacheFields count="3">
    <cacheField name="[Range].[Year].[Year]" caption="Year" numFmtId="0"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Range].[Year].&amp;[2022]"/>
            <x15:cachedUniqueName index="1" name="[Range].[Year].&amp;[2023]"/>
            <x15:cachedUniqueName index="2" name="[Range].[Year].&amp;[2024]"/>
          </x15:cachedUniqueNames>
        </ext>
      </extLst>
    </cacheField>
    <cacheField name="[Range].[Metric].[Metric]" caption="Metric" numFmtId="0" hierarchy="1" level="1">
      <sharedItems count="6">
        <s v="EPS"/>
        <s v="Share Price"/>
        <s v="Dividend Payout Ratio" u="1"/>
        <s v="Dividend per Share" u="1"/>
        <s v="Dividend Yield" u="1"/>
        <s v="P/E Ratio" u="1"/>
      </sharedItems>
    </cacheField>
    <cacheField name="[Measures].[Sum of Value]" caption="Sum of Value" numFmtId="0" hierarchy="5" level="32767"/>
  </cacheFields>
  <cacheHierarchies count="6">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etric]" caption="Metric" attribute="1" defaultMemberUniqueName="[Range].[Metric].[All]" allUniqueName="[Range].[Metric].[All]" dimensionUniqueName="[Range]" displayFolder="" count="2" memberValueDatatype="130" unbalanced="0">
      <fieldsUsage count="2">
        <fieldUsage x="-1"/>
        <fieldUsage x="1"/>
      </fieldsUsage>
    </cacheHierarchy>
    <cacheHierarchy uniqueName="[Range].[Value]" caption="Value" attribute="1" defaultMemberUniqueName="[Range].[Value].[All]" allUniqueName="[Range].[Val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alue]" caption="Sum of Value"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 Daniel" refreshedDate="45938.66509988426" backgroundQuery="1" createdVersion="8" refreshedVersion="8" minRefreshableVersion="3" recordCount="0" supportSubquery="1" supportAdvancedDrill="1" xr:uid="{30572F7F-BC73-4A27-8283-97937ABE5E98}">
  <cacheSource type="external" connectionId="1"/>
  <cacheFields count="3">
    <cacheField name="[Range].[Year].[Year]" caption="Year" numFmtId="0"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Range].[Year].&amp;[2022]"/>
            <x15:cachedUniqueName index="1" name="[Range].[Year].&amp;[2023]"/>
            <x15:cachedUniqueName index="2" name="[Range].[Year].&amp;[2024]"/>
          </x15:cachedUniqueNames>
        </ext>
      </extLst>
    </cacheField>
    <cacheField name="[Range].[Metric].[Metric]" caption="Metric" numFmtId="0" hierarchy="1" level="1">
      <sharedItems count="6">
        <s v="Dividend Payout Ratio"/>
        <s v="Dividend per Share"/>
        <s v="Dividend Yield"/>
        <s v="EPS"/>
        <s v="P/E Ratio"/>
        <s v="Share Price"/>
      </sharedItems>
    </cacheField>
    <cacheField name="[Measures].[Sum of Value]" caption="Sum of Value" numFmtId="0" hierarchy="5" level="32767"/>
  </cacheFields>
  <cacheHierarchies count="6">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etric]" caption="Metric" attribute="1" defaultMemberUniqueName="[Range].[Metric].[All]" allUniqueName="[Range].[Metric].[All]" dimensionUniqueName="[Range]" displayFolder="" count="2" memberValueDatatype="130" unbalanced="0">
      <fieldsUsage count="2">
        <fieldUsage x="-1"/>
        <fieldUsage x="1"/>
      </fieldsUsage>
    </cacheHierarchy>
    <cacheHierarchy uniqueName="[Range].[Value]" caption="Value" attribute="1" defaultMemberUniqueName="[Range].[Value].[All]" allUniqueName="[Range].[Val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alue]" caption="Sum of Value"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e Daniel" refreshedDate="45937.733777546295" backgroundQuery="1" createdVersion="3" refreshedVersion="8" minRefreshableVersion="3" recordCount="0" supportSubquery="1" supportAdvancedDrill="1" xr:uid="{599D362F-D4F6-43BD-8FAC-12212CB4771A}">
  <cacheSource type="external" connectionId="1">
    <extLst>
      <ext xmlns:x14="http://schemas.microsoft.com/office/spreadsheetml/2009/9/main" uri="{F057638F-6D5F-4e77-A914-E7F072B9BCA8}">
        <x14:sourceConnection name="ThisWorkbookDataModel"/>
      </ext>
    </extLst>
  </cacheSource>
  <cacheFields count="0"/>
  <cacheHierarchies count="6">
    <cacheHierarchy uniqueName="[Range].[Year]" caption="Year" attribute="1" defaultMemberUniqueName="[Range].[Year].[All]" allUniqueName="[Range].[Year].[All]" dimensionUniqueName="[Range]" displayFolder="" count="2" memberValueDatatype="20" unbalanced="0"/>
    <cacheHierarchy uniqueName="[Range].[Metric]" caption="Metric" attribute="1" defaultMemberUniqueName="[Range].[Metric].[All]" allUniqueName="[Range].[Metric].[All]" dimensionUniqueName="[Range]" displayFolder="" count="2" memberValueDatatype="130" unbalanced="0"/>
    <cacheHierarchy uniqueName="[Range].[Value]" caption="Value" attribute="1" defaultMemberUniqueName="[Range].[Value].[All]" allUniqueName="[Range].[Val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alue]" caption="Sum of Value"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67234720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2.2522449999999999E-2"/>
  </r>
  <r>
    <x v="0"/>
    <x v="0"/>
    <x v="1"/>
    <n v="1.0023230000000001E-2"/>
  </r>
  <r>
    <x v="0"/>
    <x v="0"/>
    <x v="2"/>
    <n v="1.799512E-2"/>
  </r>
  <r>
    <x v="0"/>
    <x v="0"/>
    <x v="3"/>
    <n v="4.7383480000000006E-2"/>
  </r>
  <r>
    <x v="1"/>
    <x v="0"/>
    <x v="0"/>
    <n v="4.3383499999999998E-2"/>
  </r>
  <r>
    <x v="1"/>
    <x v="0"/>
    <x v="1"/>
    <n v="3.1347960000000001E-2"/>
  </r>
  <r>
    <x v="1"/>
    <x v="0"/>
    <x v="2"/>
    <n v="0.06"/>
  </r>
  <r>
    <x v="1"/>
    <x v="0"/>
    <x v="3"/>
    <n v="0.1"/>
  </r>
  <r>
    <x v="2"/>
    <x v="0"/>
    <x v="0"/>
    <n v="3.5263929999999999E-2"/>
  </r>
  <r>
    <x v="2"/>
    <x v="0"/>
    <x v="1"/>
    <n v="2.5476540000000002E-2"/>
  </r>
  <r>
    <x v="2"/>
    <x v="0"/>
    <x v="2"/>
    <n v="5.2452829999999999E-2"/>
  </r>
  <r>
    <x v="2"/>
    <x v="0"/>
    <x v="3"/>
    <n v="0.21060610000000002"/>
  </r>
  <r>
    <x v="3"/>
    <x v="0"/>
    <x v="0"/>
    <n v="1.241255E-2"/>
  </r>
  <r>
    <x v="3"/>
    <x v="0"/>
    <x v="1"/>
    <n v="1.649049E-2"/>
  </r>
  <r>
    <x v="3"/>
    <x v="0"/>
    <x v="2"/>
    <n v="3.9E-2"/>
  </r>
  <r>
    <x v="3"/>
    <x v="0"/>
    <x v="3"/>
    <n v="6.5000000000000002E-2"/>
  </r>
  <r>
    <x v="0"/>
    <x v="1"/>
    <x v="0"/>
    <n v="2.7478729999999996E-2"/>
  </r>
  <r>
    <x v="0"/>
    <x v="1"/>
    <x v="1"/>
    <n v="1.2490879999999999E-2"/>
  </r>
  <r>
    <x v="0"/>
    <x v="1"/>
    <x v="2"/>
    <n v="2.1116950000000002E-2"/>
  </r>
  <r>
    <x v="0"/>
    <x v="1"/>
    <x v="3"/>
    <n v="5.7479269999999999E-2"/>
  </r>
  <r>
    <x v="1"/>
    <x v="1"/>
    <x v="0"/>
    <n v="7.2308419999999998E-2"/>
  </r>
  <r>
    <x v="1"/>
    <x v="1"/>
    <x v="1"/>
    <n v="3.9793040000000002E-2"/>
  </r>
  <r>
    <x v="1"/>
    <x v="1"/>
    <x v="2"/>
    <n v="7.9811319999999991E-2"/>
  </r>
  <r>
    <x v="1"/>
    <x v="1"/>
    <x v="3"/>
    <n v="0.1330189"/>
  </r>
  <r>
    <x v="2"/>
    <x v="1"/>
    <x v="0"/>
    <n v="5.3131869999999998E-2"/>
  </r>
  <r>
    <x v="2"/>
    <x v="1"/>
    <x v="1"/>
    <n v="3.8524559999999999E-2"/>
  </r>
  <r>
    <x v="2"/>
    <x v="1"/>
    <x v="2"/>
    <n v="7.4752509999999994E-2"/>
  </r>
  <r>
    <x v="2"/>
    <x v="1"/>
    <x v="3"/>
    <n v="0.28736109999999998"/>
  </r>
  <r>
    <x v="3"/>
    <x v="1"/>
    <x v="0"/>
    <n v="3.0303029999999998E-2"/>
  </r>
  <r>
    <x v="3"/>
    <x v="1"/>
    <x v="1"/>
    <n v="1.073059E-2"/>
  </r>
  <r>
    <x v="3"/>
    <x v="1"/>
    <x v="2"/>
    <n v="2.473684E-2"/>
  </r>
  <r>
    <x v="3"/>
    <x v="1"/>
    <x v="3"/>
    <n v="4.1228069999999999E-2"/>
  </r>
  <r>
    <x v="0"/>
    <x v="2"/>
    <x v="0"/>
    <n v="1.9041369999999998E-2"/>
  </r>
  <r>
    <x v="0"/>
    <x v="2"/>
    <x v="1"/>
    <n v="5.5107099999999994E-3"/>
  </r>
  <r>
    <x v="0"/>
    <x v="2"/>
    <x v="2"/>
    <n v="9.5211400000000009E-3"/>
  </r>
  <r>
    <x v="0"/>
    <x v="2"/>
    <x v="3"/>
    <n v="2.6777039999999998E-2"/>
  </r>
  <r>
    <x v="1"/>
    <x v="2"/>
    <x v="0"/>
    <n v="8.6251909999999987E-2"/>
  </r>
  <r>
    <x v="1"/>
    <x v="2"/>
    <x v="1"/>
    <n v="4.9522980000000001E-2"/>
  </r>
  <r>
    <x v="1"/>
    <x v="2"/>
    <x v="2"/>
    <n v="0.10196429999999999"/>
  </r>
  <r>
    <x v="1"/>
    <x v="2"/>
    <x v="3"/>
    <n v="0.16994050000000002"/>
  </r>
  <r>
    <x v="2"/>
    <x v="2"/>
    <x v="0"/>
    <n v="5.2230540000000006E-2"/>
  </r>
  <r>
    <x v="2"/>
    <x v="2"/>
    <x v="1"/>
    <n v="3.8389350000000003E-2"/>
  </r>
  <r>
    <x v="2"/>
    <x v="2"/>
    <x v="2"/>
    <n v="7.0816530000000003E-2"/>
  </r>
  <r>
    <x v="2"/>
    <x v="2"/>
    <x v="3"/>
    <n v="0.27273330000000001"/>
  </r>
  <r>
    <x v="3"/>
    <x v="2"/>
    <x v="0"/>
    <n v="2.98826E-3"/>
  </r>
  <r>
    <x v="3"/>
    <x v="2"/>
    <x v="1"/>
    <n v="1.9002400000000001E-3"/>
  </r>
  <r>
    <x v="3"/>
    <x v="2"/>
    <x v="2"/>
    <n v="4.0000000000000001E-3"/>
  </r>
  <r>
    <x v="3"/>
    <x v="2"/>
    <x v="3"/>
    <n v="6.6666700000000004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0.11351852443819327"/>
  </r>
  <r>
    <x v="0"/>
    <x v="1"/>
    <n v="0.1335134626025736"/>
  </r>
  <r>
    <x v="0"/>
    <x v="2"/>
    <n v="0.100571252122896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123.11159878508849"/>
  </r>
  <r>
    <x v="0"/>
    <x v="1"/>
    <n v="125.5552807321296"/>
  </r>
  <r>
    <x v="0"/>
    <x v="2"/>
    <n v="138.883956656455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22B6DA-5696-074A-84F0-633AE3A380EB}" name="Prob 4"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A30:AE35" firstHeaderRow="1" firstDataRow="2" firstDataCol="1" rowPageCount="1" colPageCount="1"/>
  <pivotFields count="4">
    <pivotField axis="axisCol" showAll="0" defaultSubtotal="0">
      <items count="4">
        <item x="3"/>
        <item x="1"/>
        <item x="2"/>
        <item x="0"/>
      </items>
    </pivotField>
    <pivotField axis="axisPage" showAll="0" defaultSubtotal="0">
      <items count="3">
        <item x="0"/>
        <item x="1"/>
        <item x="2"/>
      </items>
    </pivotField>
    <pivotField axis="axisRow" showAll="0" defaultSubtotal="0">
      <items count="4">
        <item x="0"/>
        <item x="1"/>
        <item x="2"/>
        <item x="3"/>
      </items>
    </pivotField>
    <pivotField dataField="1" numFmtId="10" showAll="0" defaultSubtotal="0"/>
  </pivotFields>
  <rowFields count="1">
    <field x="2"/>
  </rowFields>
  <rowItems count="4">
    <i>
      <x/>
    </i>
    <i>
      <x v="1"/>
    </i>
    <i>
      <x v="2"/>
    </i>
    <i>
      <x v="3"/>
    </i>
  </rowItems>
  <colFields count="1">
    <field x="0"/>
  </colFields>
  <colItems count="4">
    <i>
      <x/>
    </i>
    <i>
      <x v="1"/>
    </i>
    <i>
      <x v="2"/>
    </i>
    <i>
      <x v="3"/>
    </i>
  </colItems>
  <pageFields count="1">
    <pageField fld="1" hier="-1"/>
  </pageFields>
  <dataFields count="1">
    <dataField name="Sum of Value" fld="3" baseField="0" baseItem="0" numFmtId="10"/>
  </dataFields>
  <formats count="1">
    <format dxfId="115">
      <pivotArea outline="0" collapsedLevelsAreSubtotals="1" fieldPosition="0"/>
    </format>
  </formats>
  <chartFormats count="22">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0" format="7" series="1">
      <pivotArea type="data" outline="0" fieldPosition="0">
        <references count="2">
          <reference field="4294967294" count="1" selected="0">
            <x v="0"/>
          </reference>
          <reference field="0" count="1" selected="0">
            <x v="2"/>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 chart="0" format="9" series="1">
      <pivotArea type="data" outline="0" fieldPosition="0">
        <references count="1">
          <reference field="4294967294" count="1" selected="0">
            <x v="0"/>
          </reference>
        </references>
      </pivotArea>
    </chartFormat>
    <chartFormat chart="1" format="10" series="1">
      <pivotArea type="data" outline="0" fieldPosition="0">
        <references count="2">
          <reference field="4294967294" count="1" selected="0">
            <x v="0"/>
          </reference>
          <reference field="0" count="1" selected="0">
            <x v="0"/>
          </reference>
        </references>
      </pivotArea>
    </chartFormat>
    <chartFormat chart="1" format="11" series="1">
      <pivotArea type="data" outline="0" fieldPosition="0">
        <references count="2">
          <reference field="4294967294" count="1" selected="0">
            <x v="0"/>
          </reference>
          <reference field="0" count="1" selected="0">
            <x v="1"/>
          </reference>
        </references>
      </pivotArea>
    </chartFormat>
    <chartFormat chart="1" format="12" series="1">
      <pivotArea type="data" outline="0" fieldPosition="0">
        <references count="2">
          <reference field="4294967294" count="1" selected="0">
            <x v="0"/>
          </reference>
          <reference field="0" count="1" selected="0">
            <x v="2"/>
          </reference>
        </references>
      </pivotArea>
    </chartFormat>
    <chartFormat chart="1" format="13" series="1">
      <pivotArea type="data" outline="0" fieldPosition="0">
        <references count="2">
          <reference field="4294967294" count="1" selected="0">
            <x v="0"/>
          </reference>
          <reference field="0" count="1" selected="0">
            <x v="3"/>
          </reference>
        </references>
      </pivotArea>
    </chartFormat>
    <chartFormat chart="2" format="14" series="1">
      <pivotArea type="data" outline="0" fieldPosition="0">
        <references count="2">
          <reference field="4294967294" count="1" selected="0">
            <x v="0"/>
          </reference>
          <reference field="0" count="1" selected="0">
            <x v="0"/>
          </reference>
        </references>
      </pivotArea>
    </chartFormat>
    <chartFormat chart="2" format="15" series="1">
      <pivotArea type="data" outline="0" fieldPosition="0">
        <references count="2">
          <reference field="4294967294" count="1" selected="0">
            <x v="0"/>
          </reference>
          <reference field="0" count="1" selected="0">
            <x v="1"/>
          </reference>
        </references>
      </pivotArea>
    </chartFormat>
    <chartFormat chart="2" format="16" series="1">
      <pivotArea type="data" outline="0" fieldPosition="0">
        <references count="2">
          <reference field="4294967294" count="1" selected="0">
            <x v="0"/>
          </reference>
          <reference field="0" count="1" selected="0">
            <x v="2"/>
          </reference>
        </references>
      </pivotArea>
    </chartFormat>
    <chartFormat chart="2" format="17" series="1">
      <pivotArea type="data" outline="0" fieldPosition="0">
        <references count="2">
          <reference field="4294967294" count="1" selected="0">
            <x v="0"/>
          </reference>
          <reference field="0" count="1" selected="0">
            <x v="3"/>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3" format="21" series="1">
      <pivotArea type="data" outline="0" fieldPosition="0">
        <references count="2">
          <reference field="4294967294" count="1" selected="0">
            <x v="0"/>
          </reference>
          <reference field="0" count="1" selected="0">
            <x v="3"/>
          </reference>
        </references>
      </pivotArea>
    </chartFormat>
    <chartFormat chart="4" format="26" series="1">
      <pivotArea type="data" outline="0" fieldPosition="0">
        <references count="2">
          <reference field="4294967294" count="1" selected="0">
            <x v="0"/>
          </reference>
          <reference field="0" count="1" selected="0">
            <x v="0"/>
          </reference>
        </references>
      </pivotArea>
    </chartFormat>
    <chartFormat chart="4" format="27" series="1">
      <pivotArea type="data" outline="0" fieldPosition="0">
        <references count="2">
          <reference field="4294967294" count="1" selected="0">
            <x v="0"/>
          </reference>
          <reference field="0" count="1" selected="0">
            <x v="1"/>
          </reference>
        </references>
      </pivotArea>
    </chartFormat>
    <chartFormat chart="4" format="28" series="1">
      <pivotArea type="data" outline="0" fieldPosition="0">
        <references count="2">
          <reference field="4294967294" count="1" selected="0">
            <x v="0"/>
          </reference>
          <reference field="0" count="1" selected="0">
            <x v="2"/>
          </reference>
        </references>
      </pivotArea>
    </chartFormat>
    <chartFormat chart="4" format="29" series="1">
      <pivotArea type="data" outline="0" fieldPosition="0">
        <references count="2">
          <reference field="4294967294" count="1" selected="0">
            <x v="0"/>
          </reference>
          <reference field="0" count="1" selected="0">
            <x v="3"/>
          </reference>
        </references>
      </pivotArea>
    </chartFormat>
    <chartFormat chart="4"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7324B4-32C7-D946-96EF-06914133FDC7}" name="Prob 2"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A14:AE18" firstHeaderRow="1" firstDataRow="2" firstDataCol="1" rowPageCount="1" colPageCount="1"/>
  <pivotFields count="4">
    <pivotField axis="axisCol" showAll="0" defaultSubtotal="0">
      <items count="4">
        <item x="3"/>
        <item x="1"/>
        <item x="2"/>
        <item x="0"/>
      </items>
    </pivotField>
    <pivotField axis="axisRow" showAll="0" defaultSubtotal="0">
      <items count="3">
        <item x="0"/>
        <item x="1"/>
        <item x="2"/>
      </items>
    </pivotField>
    <pivotField axis="axisPage" multipleItemSelectionAllowed="1" showAll="0" defaultSubtotal="0">
      <items count="4">
        <item x="0"/>
        <item x="1"/>
        <item x="2"/>
        <item x="3"/>
      </items>
    </pivotField>
    <pivotField dataField="1" numFmtId="10" showAll="0" defaultSubtotal="0"/>
  </pivotFields>
  <rowFields count="1">
    <field x="1"/>
  </rowFields>
  <rowItems count="3">
    <i>
      <x/>
    </i>
    <i>
      <x v="1"/>
    </i>
    <i>
      <x v="2"/>
    </i>
  </rowItems>
  <colFields count="1">
    <field x="0"/>
  </colFields>
  <colItems count="4">
    <i>
      <x/>
    </i>
    <i>
      <x v="1"/>
    </i>
    <i>
      <x v="2"/>
    </i>
    <i>
      <x v="3"/>
    </i>
  </colItems>
  <pageFields count="1">
    <pageField fld="2" hier="-1"/>
  </pageFields>
  <dataFields count="1">
    <dataField name="Sum of Value" fld="3" baseField="0" baseItem="0" numFmtId="10"/>
  </dataFields>
  <formats count="1">
    <format dxfId="114">
      <pivotArea outline="0" collapsedLevelsAreSubtotals="1" fieldPosition="0"/>
    </format>
  </formats>
  <chartFormats count="22">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1">
          <reference field="4294967294" count="1" selected="0">
            <x v="0"/>
          </reference>
        </references>
      </pivotArea>
    </chartFormat>
    <chartFormat chart="1" format="9" series="1">
      <pivotArea type="data" outline="0" fieldPosition="0">
        <references count="2">
          <reference field="4294967294" count="1" selected="0">
            <x v="0"/>
          </reference>
          <reference field="0" count="1" selected="0">
            <x v="0"/>
          </reference>
        </references>
      </pivotArea>
    </chartFormat>
    <chartFormat chart="1" format="10" series="1">
      <pivotArea type="data" outline="0" fieldPosition="0">
        <references count="2">
          <reference field="4294967294" count="1" selected="0">
            <x v="0"/>
          </reference>
          <reference field="0" count="1" selected="0">
            <x v="1"/>
          </reference>
        </references>
      </pivotArea>
    </chartFormat>
    <chartFormat chart="1" format="11" series="1">
      <pivotArea type="data" outline="0" fieldPosition="0">
        <references count="2">
          <reference field="4294967294" count="1" selected="0">
            <x v="0"/>
          </reference>
          <reference field="0" count="1" selected="0">
            <x v="2"/>
          </reference>
        </references>
      </pivotArea>
    </chartFormat>
    <chartFormat chart="1" format="12" series="1">
      <pivotArea type="data" outline="0" fieldPosition="0">
        <references count="2">
          <reference field="4294967294" count="1" selected="0">
            <x v="0"/>
          </reference>
          <reference field="0" count="1" selected="0">
            <x v="3"/>
          </reference>
        </references>
      </pivotArea>
    </chartFormat>
    <chartFormat chart="2" format="13" series="1">
      <pivotArea type="data" outline="0" fieldPosition="0">
        <references count="2">
          <reference field="4294967294" count="1" selected="0">
            <x v="0"/>
          </reference>
          <reference field="0" count="1" selected="0">
            <x v="0"/>
          </reference>
        </references>
      </pivotArea>
    </chartFormat>
    <chartFormat chart="2" format="14" series="1">
      <pivotArea type="data" outline="0" fieldPosition="0">
        <references count="2">
          <reference field="4294967294" count="1" selected="0">
            <x v="0"/>
          </reference>
          <reference field="0" count="1" selected="0">
            <x v="1"/>
          </reference>
        </references>
      </pivotArea>
    </chartFormat>
    <chartFormat chart="2" format="15" series="1">
      <pivotArea type="data" outline="0" fieldPosition="0">
        <references count="2">
          <reference field="4294967294" count="1" selected="0">
            <x v="0"/>
          </reference>
          <reference field="0" count="1" selected="0">
            <x v="2"/>
          </reference>
        </references>
      </pivotArea>
    </chartFormat>
    <chartFormat chart="2" format="16" series="1">
      <pivotArea type="data" outline="0" fieldPosition="0">
        <references count="2">
          <reference field="4294967294" count="1" selected="0">
            <x v="0"/>
          </reference>
          <reference field="0" count="1" selected="0">
            <x v="3"/>
          </reference>
        </references>
      </pivotArea>
    </chartFormat>
    <chartFormat chart="3" format="17" series="1">
      <pivotArea type="data" outline="0" fieldPosition="0">
        <references count="2">
          <reference field="4294967294" count="1" selected="0">
            <x v="0"/>
          </reference>
          <reference field="0" count="1" selected="0">
            <x v="0"/>
          </reference>
        </references>
      </pivotArea>
    </chartFormat>
    <chartFormat chart="3" format="18" series="1">
      <pivotArea type="data" outline="0" fieldPosition="0">
        <references count="2">
          <reference field="4294967294" count="1" selected="0">
            <x v="0"/>
          </reference>
          <reference field="0" count="1" selected="0">
            <x v="1"/>
          </reference>
        </references>
      </pivotArea>
    </chartFormat>
    <chartFormat chart="3" format="19" series="1">
      <pivotArea type="data" outline="0" fieldPosition="0">
        <references count="2">
          <reference field="4294967294" count="1" selected="0">
            <x v="0"/>
          </reference>
          <reference field="0" count="1" selected="0">
            <x v="2"/>
          </reference>
        </references>
      </pivotArea>
    </chartFormat>
    <chartFormat chart="3" format="20" series="1">
      <pivotArea type="data" outline="0" fieldPosition="0">
        <references count="2">
          <reference field="4294967294" count="1" selected="0">
            <x v="0"/>
          </reference>
          <reference field="0" count="1" selected="0">
            <x v="3"/>
          </reference>
        </references>
      </pivotArea>
    </chartFormat>
    <chartFormat chart="4" format="25" series="1">
      <pivotArea type="data" outline="0" fieldPosition="0">
        <references count="2">
          <reference field="4294967294" count="1" selected="0">
            <x v="0"/>
          </reference>
          <reference field="0" count="1" selected="0">
            <x v="0"/>
          </reference>
        </references>
      </pivotArea>
    </chartFormat>
    <chartFormat chart="4" format="26" series="1">
      <pivotArea type="data" outline="0" fieldPosition="0">
        <references count="2">
          <reference field="4294967294" count="1" selected="0">
            <x v="0"/>
          </reference>
          <reference field="0" count="1" selected="0">
            <x v="1"/>
          </reference>
        </references>
      </pivotArea>
    </chartFormat>
    <chartFormat chart="4" format="27" series="1">
      <pivotArea type="data" outline="0" fieldPosition="0">
        <references count="2">
          <reference field="4294967294" count="1" selected="0">
            <x v="0"/>
          </reference>
          <reference field="0" count="1" selected="0">
            <x v="2"/>
          </reference>
        </references>
      </pivotArea>
    </chartFormat>
    <chartFormat chart="4" format="28" series="1">
      <pivotArea type="data" outline="0" fieldPosition="0">
        <references count="2">
          <reference field="4294967294" count="1" selected="0">
            <x v="0"/>
          </reference>
          <reference field="0" count="1" selected="0">
            <x v="3"/>
          </reference>
        </references>
      </pivotArea>
    </chartFormat>
    <chartFormat chart="4"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E32D48-B662-9C4D-9389-8EB972201020}" name="Prob 1"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A5:AE10" firstHeaderRow="1" firstDataRow="2" firstDataCol="1" rowPageCount="1" colPageCount="1"/>
  <pivotFields count="4">
    <pivotField axis="axisRow" showAll="0" defaultSubtotal="0">
      <items count="4">
        <item x="3"/>
        <item x="1"/>
        <item x="2"/>
        <item x="0"/>
      </items>
    </pivotField>
    <pivotField axis="axisPage" multipleItemSelectionAllowed="1" showAll="0" defaultSubtotal="0">
      <items count="3">
        <item x="0"/>
        <item x="1"/>
        <item x="2"/>
      </items>
    </pivotField>
    <pivotField axis="axisCol" showAll="0" defaultSubtotal="0">
      <items count="4">
        <item x="0"/>
        <item x="1"/>
        <item x="2"/>
        <item x="3"/>
      </items>
    </pivotField>
    <pivotField dataField="1" numFmtId="10" showAll="0" defaultSubtotal="0"/>
  </pivotFields>
  <rowFields count="1">
    <field x="0"/>
  </rowFields>
  <rowItems count="4">
    <i>
      <x/>
    </i>
    <i>
      <x v="1"/>
    </i>
    <i>
      <x v="2"/>
    </i>
    <i>
      <x v="3"/>
    </i>
  </rowItems>
  <colFields count="1">
    <field x="2"/>
  </colFields>
  <colItems count="4">
    <i>
      <x/>
    </i>
    <i>
      <x v="1"/>
    </i>
    <i>
      <x v="2"/>
    </i>
    <i>
      <x v="3"/>
    </i>
  </colItems>
  <pageFields count="1">
    <pageField fld="1" hier="-1"/>
  </pageFields>
  <dataFields count="1">
    <dataField name="Sum of Value" fld="3" baseField="0" baseItem="0" numFmtId="10"/>
  </dataFields>
  <formats count="1">
    <format dxfId="113">
      <pivotArea outline="0" collapsedLevelsAreSubtotals="1" fieldPosition="0"/>
    </format>
  </formats>
  <chartFormats count="22">
    <chartFormat chart="4" format="26" series="1">
      <pivotArea type="data" outline="0" fieldPosition="0">
        <references count="2">
          <reference field="4294967294" count="1" selected="0">
            <x v="0"/>
          </reference>
          <reference field="2" count="1" selected="0">
            <x v="0"/>
          </reference>
        </references>
      </pivotArea>
    </chartFormat>
    <chartFormat chart="4" format="27" series="1">
      <pivotArea type="data" outline="0" fieldPosition="0">
        <references count="2">
          <reference field="4294967294" count="1" selected="0">
            <x v="0"/>
          </reference>
          <reference field="2" count="1" selected="0">
            <x v="1"/>
          </reference>
        </references>
      </pivotArea>
    </chartFormat>
    <chartFormat chart="4" format="28" series="1">
      <pivotArea type="data" outline="0" fieldPosition="0">
        <references count="2">
          <reference field="4294967294" count="1" selected="0">
            <x v="0"/>
          </reference>
          <reference field="2" count="1" selected="0">
            <x v="2"/>
          </reference>
        </references>
      </pivotArea>
    </chartFormat>
    <chartFormat chart="4" format="29" series="1">
      <pivotArea type="data" outline="0" fieldPosition="0">
        <references count="2">
          <reference field="4294967294" count="1" selected="0">
            <x v="0"/>
          </reference>
          <reference field="2" count="1" selected="0">
            <x v="3"/>
          </reference>
        </references>
      </pivotArea>
    </chartFormat>
    <chartFormat chart="5" format="30" series="1">
      <pivotArea type="data" outline="0" fieldPosition="0">
        <references count="2">
          <reference field="4294967294" count="1" selected="0">
            <x v="0"/>
          </reference>
          <reference field="2" count="1" selected="0">
            <x v="0"/>
          </reference>
        </references>
      </pivotArea>
    </chartFormat>
    <chartFormat chart="5" format="31" series="1">
      <pivotArea type="data" outline="0" fieldPosition="0">
        <references count="2">
          <reference field="4294967294" count="1" selected="0">
            <x v="0"/>
          </reference>
          <reference field="2" count="1" selected="0">
            <x v="1"/>
          </reference>
        </references>
      </pivotArea>
    </chartFormat>
    <chartFormat chart="5" format="32" series="1">
      <pivotArea type="data" outline="0" fieldPosition="0">
        <references count="2">
          <reference field="4294967294" count="1" selected="0">
            <x v="0"/>
          </reference>
          <reference field="2" count="1" selected="0">
            <x v="2"/>
          </reference>
        </references>
      </pivotArea>
    </chartFormat>
    <chartFormat chart="5" format="33" series="1">
      <pivotArea type="data" outline="0" fieldPosition="0">
        <references count="2">
          <reference field="4294967294" count="1" selected="0">
            <x v="0"/>
          </reference>
          <reference field="2" count="1" selected="0">
            <x v="3"/>
          </reference>
        </references>
      </pivotArea>
    </chartFormat>
    <chartFormat chart="6" format="34" series="1">
      <pivotArea type="data" outline="0" fieldPosition="0">
        <references count="2">
          <reference field="4294967294" count="1" selected="0">
            <x v="0"/>
          </reference>
          <reference field="2" count="1" selected="0">
            <x v="0"/>
          </reference>
        </references>
      </pivotArea>
    </chartFormat>
    <chartFormat chart="6" format="35" series="1">
      <pivotArea type="data" outline="0" fieldPosition="0">
        <references count="2">
          <reference field="4294967294" count="1" selected="0">
            <x v="0"/>
          </reference>
          <reference field="2" count="1" selected="0">
            <x v="1"/>
          </reference>
        </references>
      </pivotArea>
    </chartFormat>
    <chartFormat chart="6" format="36" series="1">
      <pivotArea type="data" outline="0" fieldPosition="0">
        <references count="2">
          <reference field="4294967294" count="1" selected="0">
            <x v="0"/>
          </reference>
          <reference field="2" count="1" selected="0">
            <x v="2"/>
          </reference>
        </references>
      </pivotArea>
    </chartFormat>
    <chartFormat chart="6" format="37" series="1">
      <pivotArea type="data" outline="0" fieldPosition="0">
        <references count="2">
          <reference field="4294967294" count="1" selected="0">
            <x v="0"/>
          </reference>
          <reference field="2" count="1" selected="0">
            <x v="3"/>
          </reference>
        </references>
      </pivotArea>
    </chartFormat>
    <chartFormat chart="7" format="42" series="1">
      <pivotArea type="data" outline="0" fieldPosition="0">
        <references count="2">
          <reference field="4294967294" count="1" selected="0">
            <x v="0"/>
          </reference>
          <reference field="2" count="1" selected="0">
            <x v="0"/>
          </reference>
        </references>
      </pivotArea>
    </chartFormat>
    <chartFormat chart="7" format="43" series="1">
      <pivotArea type="data" outline="0" fieldPosition="0">
        <references count="2">
          <reference field="4294967294" count="1" selected="0">
            <x v="0"/>
          </reference>
          <reference field="2" count="1" selected="0">
            <x v="1"/>
          </reference>
        </references>
      </pivotArea>
    </chartFormat>
    <chartFormat chart="7" format="44" series="1">
      <pivotArea type="data" outline="0" fieldPosition="0">
        <references count="2">
          <reference field="4294967294" count="1" selected="0">
            <x v="0"/>
          </reference>
          <reference field="2" count="1" selected="0">
            <x v="2"/>
          </reference>
        </references>
      </pivotArea>
    </chartFormat>
    <chartFormat chart="7" format="45" series="1">
      <pivotArea type="data" outline="0" fieldPosition="0">
        <references count="2">
          <reference field="4294967294" count="1" selected="0">
            <x v="0"/>
          </reference>
          <reference field="2" count="1" selected="0">
            <x v="3"/>
          </reference>
        </references>
      </pivotArea>
    </chartFormat>
    <chartFormat chart="7" format="50" series="1">
      <pivotArea type="data" outline="0" fieldPosition="0">
        <references count="1">
          <reference field="4294967294" count="1" selected="0">
            <x v="0"/>
          </reference>
        </references>
      </pivotArea>
    </chartFormat>
    <chartFormat chart="0" format="26" series="1">
      <pivotArea type="data" outline="0" fieldPosition="0">
        <references count="2">
          <reference field="4294967294" count="1" selected="0">
            <x v="0"/>
          </reference>
          <reference field="2" count="1" selected="0">
            <x v="0"/>
          </reference>
        </references>
      </pivotArea>
    </chartFormat>
    <chartFormat chart="0" format="27" series="1">
      <pivotArea type="data" outline="0" fieldPosition="0">
        <references count="2">
          <reference field="4294967294" count="1" selected="0">
            <x v="0"/>
          </reference>
          <reference field="2" count="1" selected="0">
            <x v="1"/>
          </reference>
        </references>
      </pivotArea>
    </chartFormat>
    <chartFormat chart="0" format="28" series="1">
      <pivotArea type="data" outline="0" fieldPosition="0">
        <references count="2">
          <reference field="4294967294" count="1" selected="0">
            <x v="0"/>
          </reference>
          <reference field="2" count="1" selected="0">
            <x v="2"/>
          </reference>
        </references>
      </pivotArea>
    </chartFormat>
    <chartFormat chart="0" format="29" series="1">
      <pivotArea type="data" outline="0" fieldPosition="0">
        <references count="2">
          <reference field="4294967294" count="1" selected="0">
            <x v="0"/>
          </reference>
          <reference field="2" count="1" selected="0">
            <x v="3"/>
          </reference>
        </references>
      </pivotArea>
    </chartFormat>
    <chartFormat chart="0"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72018-DF40-4172-AE5C-27D93319A25B}" name="PivotTable1"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22:S28" firstHeaderRow="1" firstDataRow="3" firstDataCol="1"/>
  <pivotFields count="4">
    <pivotField axis="axisRow" showAll="0" defaultSubtotal="0">
      <items count="4">
        <item x="3"/>
        <item x="1"/>
        <item x="2"/>
        <item x="0"/>
      </items>
    </pivotField>
    <pivotField axis="axisCol" showAll="0" defaultSubtotal="0">
      <items count="3">
        <item x="0"/>
        <item x="1"/>
        <item x="2"/>
      </items>
    </pivotField>
    <pivotField axis="axisCol" showAll="0" defaultSubtotal="0">
      <items count="4">
        <item x="0"/>
        <item x="1"/>
        <item x="2"/>
        <item x="3"/>
      </items>
    </pivotField>
    <pivotField dataField="1" numFmtId="10" showAll="0" defaultSubtotal="0"/>
  </pivotFields>
  <rowFields count="1">
    <field x="0"/>
  </rowFields>
  <rowItems count="4">
    <i>
      <x/>
    </i>
    <i>
      <x v="1"/>
    </i>
    <i>
      <x v="2"/>
    </i>
    <i>
      <x v="3"/>
    </i>
  </rowItems>
  <colFields count="2">
    <field x="1"/>
    <field x="2"/>
  </colFields>
  <colItems count="12">
    <i>
      <x/>
      <x/>
    </i>
    <i r="1">
      <x v="1"/>
    </i>
    <i r="1">
      <x v="2"/>
    </i>
    <i r="1">
      <x v="3"/>
    </i>
    <i>
      <x v="1"/>
      <x/>
    </i>
    <i r="1">
      <x v="1"/>
    </i>
    <i r="1">
      <x v="2"/>
    </i>
    <i r="1">
      <x v="3"/>
    </i>
    <i>
      <x v="2"/>
      <x/>
    </i>
    <i r="1">
      <x v="1"/>
    </i>
    <i r="1">
      <x v="2"/>
    </i>
    <i r="1">
      <x v="3"/>
    </i>
  </colItems>
  <dataFields count="1">
    <dataField name="Sum of Value" fld="3" baseField="0" baseItem="0" numFmtId="10"/>
  </dataFields>
  <formats count="25">
    <format dxfId="88">
      <pivotArea outline="0" collapsedLevelsAreSubtotals="1" fieldPosition="0"/>
    </format>
    <format dxfId="89">
      <pivotArea type="all" dataOnly="0" outline="0" fieldPosition="0"/>
    </format>
    <format dxfId="90">
      <pivotArea outline="0" collapsedLevelsAreSubtotals="1" fieldPosition="0"/>
    </format>
    <format dxfId="91">
      <pivotArea type="origin" dataOnly="0" labelOnly="1" outline="0" fieldPosition="0"/>
    </format>
    <format dxfId="92">
      <pivotArea field="1" type="button" dataOnly="0" labelOnly="1" outline="0" axis="axisCol" fieldPosition="0"/>
    </format>
    <format dxfId="93">
      <pivotArea field="2" type="button" dataOnly="0" labelOnly="1" outline="0" axis="axisCol" fieldPosition="1"/>
    </format>
    <format dxfId="94">
      <pivotArea type="topRight" dataOnly="0" labelOnly="1" outline="0" fieldPosition="0"/>
    </format>
    <format dxfId="95">
      <pivotArea field="0" type="button" dataOnly="0" labelOnly="1" outline="0" axis="axisRow" fieldPosition="0"/>
    </format>
    <format dxfId="96">
      <pivotArea dataOnly="0" labelOnly="1" fieldPosition="0">
        <references count="1">
          <reference field="0" count="0"/>
        </references>
      </pivotArea>
    </format>
    <format dxfId="97">
      <pivotArea dataOnly="0" labelOnly="1" fieldPosition="0">
        <references count="1">
          <reference field="1" count="0"/>
        </references>
      </pivotArea>
    </format>
    <format dxfId="98">
      <pivotArea dataOnly="0" labelOnly="1" fieldPosition="0">
        <references count="2">
          <reference field="1" count="1" selected="0">
            <x v="0"/>
          </reference>
          <reference field="2" count="0"/>
        </references>
      </pivotArea>
    </format>
    <format dxfId="99">
      <pivotArea dataOnly="0" labelOnly="1" fieldPosition="0">
        <references count="2">
          <reference field="1" count="1" selected="0">
            <x v="1"/>
          </reference>
          <reference field="2" count="0"/>
        </references>
      </pivotArea>
    </format>
    <format dxfId="100">
      <pivotArea dataOnly="0" labelOnly="1" fieldPosition="0">
        <references count="2">
          <reference field="1" count="1" selected="0">
            <x v="2"/>
          </reference>
          <reference field="2" count="0"/>
        </references>
      </pivotArea>
    </format>
    <format dxfId="101">
      <pivotArea type="all" dataOnly="0" outline="0" fieldPosition="0"/>
    </format>
    <format dxfId="102">
      <pivotArea outline="0" collapsedLevelsAreSubtotals="1" fieldPosition="0"/>
    </format>
    <format dxfId="103">
      <pivotArea type="origin" dataOnly="0" labelOnly="1" outline="0" fieldPosition="0"/>
    </format>
    <format dxfId="104">
      <pivotArea field="1" type="button" dataOnly="0" labelOnly="1" outline="0" axis="axisCol" fieldPosition="0"/>
    </format>
    <format dxfId="105">
      <pivotArea field="2" type="button" dataOnly="0" labelOnly="1" outline="0" axis="axisCol" fieldPosition="1"/>
    </format>
    <format dxfId="106">
      <pivotArea type="topRight" dataOnly="0" labelOnly="1" outline="0" fieldPosition="0"/>
    </format>
    <format dxfId="107">
      <pivotArea field="0" type="button" dataOnly="0" labelOnly="1" outline="0" axis="axisRow" fieldPosition="0"/>
    </format>
    <format dxfId="108">
      <pivotArea dataOnly="0" labelOnly="1" fieldPosition="0">
        <references count="1">
          <reference field="0" count="0"/>
        </references>
      </pivotArea>
    </format>
    <format dxfId="109">
      <pivotArea dataOnly="0" labelOnly="1" fieldPosition="0">
        <references count="1">
          <reference field="1" count="0"/>
        </references>
      </pivotArea>
    </format>
    <format dxfId="110">
      <pivotArea dataOnly="0" labelOnly="1" fieldPosition="0">
        <references count="2">
          <reference field="1" count="1" selected="0">
            <x v="0"/>
          </reference>
          <reference field="2" count="0"/>
        </references>
      </pivotArea>
    </format>
    <format dxfId="111">
      <pivotArea dataOnly="0" labelOnly="1" fieldPosition="0">
        <references count="2">
          <reference field="1" count="1" selected="0">
            <x v="1"/>
          </reference>
          <reference field="2" count="0"/>
        </references>
      </pivotArea>
    </format>
    <format dxfId="112">
      <pivotArea dataOnly="0" labelOnly="1" fieldPosition="0">
        <references count="2">
          <reference field="1" count="1" selected="0">
            <x v="2"/>
          </reference>
          <reference field="2"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92DD6A-E671-E847-A02D-6A47CEDA99AF}" name="Prob 5"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A39:AD44" firstHeaderRow="1" firstDataRow="2" firstDataCol="1" rowPageCount="1" colPageCount="1"/>
  <pivotFields count="4">
    <pivotField axis="axisPage" multipleItemSelectionAllowed="1" showAll="0" defaultSubtotal="0">
      <items count="4">
        <item h="1" x="3"/>
        <item h="1" x="1"/>
        <item h="1" x="2"/>
        <item x="0"/>
      </items>
    </pivotField>
    <pivotField axis="axisCol" showAll="0" defaultSubtotal="0">
      <items count="3">
        <item x="0"/>
        <item x="1"/>
        <item x="2"/>
      </items>
    </pivotField>
    <pivotField axis="axisRow" showAll="0" defaultSubtotal="0">
      <items count="4">
        <item x="0"/>
        <item x="1"/>
        <item x="2"/>
        <item x="3"/>
      </items>
    </pivotField>
    <pivotField dataField="1" numFmtId="10" showAll="0" defaultSubtotal="0"/>
  </pivotFields>
  <rowFields count="1">
    <field x="2"/>
  </rowFields>
  <rowItems count="4">
    <i>
      <x/>
    </i>
    <i>
      <x v="1"/>
    </i>
    <i>
      <x v="2"/>
    </i>
    <i>
      <x v="3"/>
    </i>
  </rowItems>
  <colFields count="1">
    <field x="1"/>
  </colFields>
  <colItems count="3">
    <i>
      <x/>
    </i>
    <i>
      <x v="1"/>
    </i>
    <i>
      <x v="2"/>
    </i>
  </colItems>
  <pageFields count="1">
    <pageField fld="0" hier="-1"/>
  </pageFields>
  <dataFields count="1">
    <dataField name="Sum of Value" fld="3" baseField="0" baseItem="0" numFmtId="10"/>
  </dataFields>
  <formats count="1">
    <format dxfId="87">
      <pivotArea outline="0" collapsedLevelsAreSubtotals="1" fieldPosition="0"/>
    </format>
  </formats>
  <chartFormats count="43">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1" format="6" series="1">
      <pivotArea type="data" outline="0" fieldPosition="0">
        <references count="2">
          <reference field="4294967294" count="1" selected="0">
            <x v="0"/>
          </reference>
          <reference field="1" count="1" selected="0">
            <x v="0"/>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2"/>
          </reference>
        </references>
      </pivotArea>
    </chartFormat>
    <chartFormat chart="2" format="9" series="1">
      <pivotArea type="data" outline="0" fieldPosition="0">
        <references count="2">
          <reference field="4294967294" count="1" selected="0">
            <x v="0"/>
          </reference>
          <reference field="1" count="1" selected="0">
            <x v="0"/>
          </reference>
        </references>
      </pivotArea>
    </chartFormat>
    <chartFormat chart="2" format="10" series="1">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4" format="18" series="1">
      <pivotArea type="data" outline="0" fieldPosition="0">
        <references count="2">
          <reference field="4294967294" count="1" selected="0">
            <x v="0"/>
          </reference>
          <reference field="1" count="1" selected="0">
            <x v="0"/>
          </reference>
        </references>
      </pivotArea>
    </chartFormat>
    <chartFormat chart="4" format="19" series="1">
      <pivotArea type="data" outline="0" fieldPosition="0">
        <references count="2">
          <reference field="4294967294" count="1" selected="0">
            <x v="0"/>
          </reference>
          <reference field="1" count="1" selected="0">
            <x v="1"/>
          </reference>
        </references>
      </pivotArea>
    </chartFormat>
    <chartFormat chart="4" format="20" series="1">
      <pivotArea type="data" outline="0" fieldPosition="0">
        <references count="2">
          <reference field="4294967294" count="1" selected="0">
            <x v="0"/>
          </reference>
          <reference field="1" count="1" selected="0">
            <x v="2"/>
          </reference>
        </references>
      </pivotArea>
    </chartFormat>
    <chartFormat chart="4" format="21"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4" format="22" series="1">
      <pivotArea type="data" outline="0" fieldPosition="0">
        <references count="3">
          <reference field="4294967294" count="1" selected="0">
            <x v="0"/>
          </reference>
          <reference field="1" count="1" selected="0">
            <x v="0"/>
          </reference>
          <reference field="2" count="1" selected="0">
            <x v="3"/>
          </reference>
        </references>
      </pivotArea>
    </chartFormat>
    <chartFormat chart="4" format="23" series="1">
      <pivotArea type="data" outline="0" fieldPosition="0">
        <references count="3">
          <reference field="4294967294" count="1" selected="0">
            <x v="0"/>
          </reference>
          <reference field="1" count="1" selected="0">
            <x v="1"/>
          </reference>
          <reference field="2" count="1" selected="0">
            <x v="0"/>
          </reference>
        </references>
      </pivotArea>
    </chartFormat>
    <chartFormat chart="4" format="24" series="1">
      <pivotArea type="data" outline="0" fieldPosition="0">
        <references count="3">
          <reference field="4294967294" count="1" selected="0">
            <x v="0"/>
          </reference>
          <reference field="1" count="1" selected="0">
            <x v="1"/>
          </reference>
          <reference field="2" count="1" selected="0">
            <x v="1"/>
          </reference>
        </references>
      </pivotArea>
    </chartFormat>
    <chartFormat chart="4" format="25" series="1">
      <pivotArea type="data" outline="0" fieldPosition="0">
        <references count="3">
          <reference field="4294967294" count="1" selected="0">
            <x v="0"/>
          </reference>
          <reference field="1" count="1" selected="0">
            <x v="1"/>
          </reference>
          <reference field="2" count="1" selected="0">
            <x v="2"/>
          </reference>
        </references>
      </pivotArea>
    </chartFormat>
    <chartFormat chart="4" format="26" series="1">
      <pivotArea type="data" outline="0" fieldPosition="0">
        <references count="3">
          <reference field="4294967294" count="1" selected="0">
            <x v="0"/>
          </reference>
          <reference field="1" count="1" selected="0">
            <x v="1"/>
          </reference>
          <reference field="2" count="1" selected="0">
            <x v="3"/>
          </reference>
        </references>
      </pivotArea>
    </chartFormat>
    <chartFormat chart="4" format="27" series="1">
      <pivotArea type="data" outline="0" fieldPosition="0">
        <references count="3">
          <reference field="4294967294" count="1" selected="0">
            <x v="0"/>
          </reference>
          <reference field="1" count="1" selected="0">
            <x v="2"/>
          </reference>
          <reference field="2" count="1" selected="0">
            <x v="0"/>
          </reference>
        </references>
      </pivotArea>
    </chartFormat>
    <chartFormat chart="4" format="28" series="1">
      <pivotArea type="data" outline="0" fieldPosition="0">
        <references count="3">
          <reference field="4294967294" count="1" selected="0">
            <x v="0"/>
          </reference>
          <reference field="1" count="1" selected="0">
            <x v="2"/>
          </reference>
          <reference field="2" count="1" selected="0">
            <x v="1"/>
          </reference>
        </references>
      </pivotArea>
    </chartFormat>
    <chartFormat chart="4" format="29" series="1">
      <pivotArea type="data" outline="0" fieldPosition="0">
        <references count="3">
          <reference field="4294967294" count="1" selected="0">
            <x v="0"/>
          </reference>
          <reference field="1" count="1" selected="0">
            <x v="2"/>
          </reference>
          <reference field="2" count="1" selected="0">
            <x v="2"/>
          </reference>
        </references>
      </pivotArea>
    </chartFormat>
    <chartFormat chart="4" format="30"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7" series="1">
      <pivotArea type="data" outline="0" fieldPosition="0">
        <references count="3">
          <reference field="4294967294" count="1" selected="0">
            <x v="0"/>
          </reference>
          <reference field="1" count="1" selected="0">
            <x v="0"/>
          </reference>
          <reference field="2" count="1" selected="0">
            <x v="3"/>
          </reference>
        </references>
      </pivotArea>
    </chartFormat>
    <chartFormat chart="0" format="8"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9"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10"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11"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12" series="1">
      <pivotArea type="data" outline="0" fieldPosition="0">
        <references count="3">
          <reference field="4294967294" count="1" selected="0">
            <x v="0"/>
          </reference>
          <reference field="1" count="1" selected="0">
            <x v="2"/>
          </reference>
          <reference field="2" count="1" selected="0">
            <x v="0"/>
          </reference>
        </references>
      </pivotArea>
    </chartFormat>
    <chartFormat chart="0" format="13"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14"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15" series="1">
      <pivotArea type="data" outline="0" fieldPosition="0">
        <references count="3">
          <reference field="4294967294" count="1" selected="0">
            <x v="0"/>
          </reference>
          <reference field="1" count="1" selected="0">
            <x v="2"/>
          </reference>
          <reference field="2" count="1" selected="0">
            <x v="3"/>
          </reference>
        </references>
      </pivotArea>
    </chartFormat>
    <chartFormat chart="4" format="31" series="1">
      <pivotArea type="data" outline="0" fieldPosition="0">
        <references count="3">
          <reference field="4294967294" count="1" selected="0">
            <x v="0"/>
          </reference>
          <reference field="1"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1" count="1" selected="0">
            <x v="0"/>
          </reference>
        </references>
      </pivotArea>
    </chartFormat>
    <chartFormat chart="6" format="18" series="1">
      <pivotArea type="data" outline="0" fieldPosition="0">
        <references count="2">
          <reference field="4294967294" count="1" selected="0">
            <x v="0"/>
          </reference>
          <reference field="1" count="1" selected="0">
            <x v="1"/>
          </reference>
        </references>
      </pivotArea>
    </chartFormat>
    <chartFormat chart="6" format="19" series="1">
      <pivotArea type="data" outline="0" fieldPosition="0">
        <references count="2">
          <reference field="4294967294" count="1" selected="0">
            <x v="0"/>
          </reference>
          <reference field="1" count="1" selected="0">
            <x v="2"/>
          </reference>
        </references>
      </pivotArea>
    </chartFormat>
    <chartFormat chart="7" format="28" series="1">
      <pivotArea type="data" outline="0" fieldPosition="0">
        <references count="2">
          <reference field="4294967294" count="1" selected="0">
            <x v="0"/>
          </reference>
          <reference field="1" count="1" selected="0">
            <x v="0"/>
          </reference>
        </references>
      </pivotArea>
    </chartFormat>
    <chartFormat chart="7" format="29" series="1">
      <pivotArea type="data" outline="0" fieldPosition="0">
        <references count="2">
          <reference field="4294967294" count="1" selected="0">
            <x v="0"/>
          </reference>
          <reference field="1" count="1" selected="0">
            <x v="1"/>
          </reference>
        </references>
      </pivotArea>
    </chartFormat>
    <chartFormat chart="7" format="30" series="1">
      <pivotArea type="data" outline="0" fieldPosition="0">
        <references count="2">
          <reference field="4294967294" count="1" selected="0">
            <x v="0"/>
          </reference>
          <reference field="1" count="1" selected="0">
            <x v="2"/>
          </reference>
        </references>
      </pivotArea>
    </chartFormat>
    <chartFormat chart="7"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CF032-7D53-A641-AE4D-D8DCF977206A}" name="Prob 3"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A22:AC26" firstHeaderRow="1" firstDataRow="2" firstDataCol="1" rowPageCount="1" colPageCount="1"/>
  <pivotFields count="4">
    <pivotField axis="axisPage" showAll="0">
      <items count="5">
        <item x="3"/>
        <item x="1"/>
        <item x="2"/>
        <item x="0"/>
        <item t="default"/>
      </items>
    </pivotField>
    <pivotField axis="axisRow" showAll="0">
      <items count="4">
        <item x="0"/>
        <item x="1"/>
        <item x="2"/>
        <item t="default"/>
      </items>
    </pivotField>
    <pivotField axis="axisCol" showAll="0">
      <items count="5">
        <item x="0"/>
        <item h="1" x="1"/>
        <item h="1" x="2"/>
        <item x="3"/>
        <item t="default"/>
      </items>
    </pivotField>
    <pivotField dataField="1" numFmtId="10" showAll="0"/>
  </pivotFields>
  <rowFields count="1">
    <field x="1"/>
  </rowFields>
  <rowItems count="3">
    <i>
      <x/>
    </i>
    <i>
      <x v="1"/>
    </i>
    <i>
      <x v="2"/>
    </i>
  </rowItems>
  <colFields count="1">
    <field x="2"/>
  </colFields>
  <colItems count="2">
    <i>
      <x/>
    </i>
    <i>
      <x v="3"/>
    </i>
  </colItems>
  <pageFields count="1">
    <pageField fld="0" hier="-1"/>
  </pageFields>
  <dataFields count="1">
    <dataField name="Sum of Value" fld="3" baseField="0" baseItem="0" numFmtId="10"/>
  </dataFields>
  <formats count="1">
    <format dxfId="86">
      <pivotArea outline="0" collapsedLevelsAreSubtotals="1" fieldPosition="0"/>
    </format>
  </formats>
  <chartFormats count="10">
    <chartFormat chart="0" format="5" series="1">
      <pivotArea type="data" outline="0" fieldPosition="0">
        <references count="2">
          <reference field="4294967294" count="1" selected="0">
            <x v="0"/>
          </reference>
          <reference field="2" count="1" selected="0">
            <x v="0"/>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1" format="7" series="1">
      <pivotArea type="data" outline="0" fieldPosition="0">
        <references count="2">
          <reference field="4294967294" count="1" selected="0">
            <x v="0"/>
          </reference>
          <reference field="2" count="1" selected="0">
            <x v="0"/>
          </reference>
        </references>
      </pivotArea>
    </chartFormat>
    <chartFormat chart="1" format="8" series="1">
      <pivotArea type="data" outline="0" fieldPosition="0">
        <references count="2">
          <reference field="4294967294" count="1" selected="0">
            <x v="0"/>
          </reference>
          <reference field="2" count="1" selected="0">
            <x v="3"/>
          </reference>
        </references>
      </pivotArea>
    </chartFormat>
    <chartFormat chart="2" format="9" series="1">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2">
          <reference field="4294967294" count="1" selected="0">
            <x v="0"/>
          </reference>
          <reference field="2" count="1" selected="0">
            <x v="3"/>
          </reference>
        </references>
      </pivotArea>
    </chartFormat>
    <chartFormat chart="3" format="11" series="1">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 chart="6" format="9" series="1">
      <pivotArea type="data" outline="0" fieldPosition="0">
        <references count="2">
          <reference field="4294967294" count="1" selected="0">
            <x v="0"/>
          </reference>
          <reference field="2" count="1" selected="0">
            <x v="0"/>
          </reference>
        </references>
      </pivotArea>
    </chartFormat>
    <chartFormat chart="6" format="10"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27DD9-15AA-4BD0-8893-A17B7960BAE2}" name="PivotTable2" cacheId="4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M9:O14" firstHeaderRow="1" firstDataRow="2" firstDataCol="1"/>
  <pivotFields count="3">
    <pivotField axis="axisCol" compact="0" outline="0" showAll="0">
      <items count="2">
        <item x="0"/>
        <item t="default"/>
      </items>
    </pivotField>
    <pivotField axis="axisRow" compact="0" outline="0" showAll="0">
      <items count="4">
        <item x="0"/>
        <item x="1"/>
        <item x="2"/>
        <item t="default"/>
      </items>
    </pivotField>
    <pivotField dataField="1" compact="0" outline="0" showAll="0"/>
  </pivotFields>
  <rowFields count="1">
    <field x="1"/>
  </rowFields>
  <rowItems count="4">
    <i>
      <x/>
    </i>
    <i>
      <x v="1"/>
    </i>
    <i>
      <x v="2"/>
    </i>
    <i t="grand">
      <x/>
    </i>
  </rowItems>
  <colFields count="1">
    <field x="0"/>
  </colFields>
  <colItems count="2">
    <i>
      <x/>
    </i>
    <i t="grand">
      <x/>
    </i>
  </colItems>
  <dataFields count="1">
    <dataField name="Sum of Value" fld="2" baseField="0" baseItem="0"/>
  </dataFields>
  <formats count="10">
    <format dxfId="76">
      <pivotArea type="all" dataOnly="0" outline="0" fieldPosition="0"/>
    </format>
    <format dxfId="77">
      <pivotArea outline="0" collapsedLevelsAreSubtotals="1" fieldPosition="0"/>
    </format>
    <format dxfId="78">
      <pivotArea type="origin" dataOnly="0" labelOnly="1" outline="0" fieldPosition="0"/>
    </format>
    <format dxfId="79">
      <pivotArea field="0" type="button" dataOnly="0" labelOnly="1" outline="0" axis="axisCol" fieldPosition="0"/>
    </format>
    <format dxfId="80">
      <pivotArea type="topRight" dataOnly="0" labelOnly="1" outline="0" fieldPosition="0"/>
    </format>
    <format dxfId="81">
      <pivotArea field="1" type="button" dataOnly="0" labelOnly="1" outline="0" axis="axisRow" fieldPosition="0"/>
    </format>
    <format dxfId="82">
      <pivotArea dataOnly="0" labelOnly="1" outline="0" fieldPosition="0">
        <references count="1">
          <reference field="1" count="0"/>
        </references>
      </pivotArea>
    </format>
    <format dxfId="83">
      <pivotArea dataOnly="0" labelOnly="1" grandRow="1" outline="0" fieldPosition="0"/>
    </format>
    <format dxfId="84">
      <pivotArea dataOnly="0" labelOnly="1" outline="0" fieldPosition="0">
        <references count="1">
          <reference field="0" count="0"/>
        </references>
      </pivotArea>
    </format>
    <format dxfId="85">
      <pivotArea dataOnly="0" labelOnly="1" grandCol="1" outline="0" fieldPosition="0"/>
    </format>
  </formats>
  <chartFormats count="1">
    <chartFormat chart="0" format="0"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4FE5FD-F98E-4BBC-940F-986F02C4F69C}" name="PivotTable1" cacheId="45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9:I14" firstHeaderRow="1" firstDataRow="2" firstDataCol="1"/>
  <pivotFields count="3">
    <pivotField axis="axisCol" compact="0" outline="0" showAll="0">
      <items count="2">
        <item x="0"/>
        <item t="default"/>
      </items>
    </pivotField>
    <pivotField axis="axisRow" compact="0" outline="0" showAll="0">
      <items count="4">
        <item x="0"/>
        <item x="1"/>
        <item x="2"/>
        <item t="default"/>
      </items>
    </pivotField>
    <pivotField dataField="1" compact="0" outline="0" showAll="0"/>
  </pivotFields>
  <rowFields count="1">
    <field x="1"/>
  </rowFields>
  <rowItems count="4">
    <i>
      <x/>
    </i>
    <i>
      <x v="1"/>
    </i>
    <i>
      <x v="2"/>
    </i>
    <i t="grand">
      <x/>
    </i>
  </rowItems>
  <colFields count="1">
    <field x="0"/>
  </colFields>
  <colItems count="2">
    <i>
      <x/>
    </i>
    <i t="grand">
      <x/>
    </i>
  </colItems>
  <dataFields count="1">
    <dataField name="Sum of Value" fld="2" baseField="0" baseItem="0"/>
  </dataFields>
  <formats count="10">
    <format dxfId="66">
      <pivotArea type="all" dataOnly="0" outline="0" fieldPosition="0"/>
    </format>
    <format dxfId="67">
      <pivotArea outline="0" collapsedLevelsAreSubtotals="1" fieldPosition="0"/>
    </format>
    <format dxfId="68">
      <pivotArea type="origin" dataOnly="0" labelOnly="1" outline="0" fieldPosition="0"/>
    </format>
    <format dxfId="69">
      <pivotArea field="0" type="button" dataOnly="0" labelOnly="1" outline="0" axis="axisCol" fieldPosition="0"/>
    </format>
    <format dxfId="70">
      <pivotArea type="topRight" dataOnly="0" labelOnly="1" outline="0" fieldPosition="0"/>
    </format>
    <format dxfId="71">
      <pivotArea field="1" type="button" dataOnly="0" labelOnly="1" outline="0" axis="axisRow" fieldPosition="0"/>
    </format>
    <format dxfId="72">
      <pivotArea dataOnly="0" labelOnly="1" outline="0" fieldPosition="0">
        <references count="1">
          <reference field="1" count="0"/>
        </references>
      </pivotArea>
    </format>
    <format dxfId="73">
      <pivotArea dataOnly="0" labelOnly="1" grandRow="1" outline="0" fieldPosition="0"/>
    </format>
    <format dxfId="74">
      <pivotArea dataOnly="0" labelOnly="1" outline="0" fieldPosition="0">
        <references count="1">
          <reference field="0" count="0"/>
        </references>
      </pivotArea>
    </format>
    <format dxfId="75">
      <pivotArea dataOnly="0" labelOnly="1" grandCol="1" outline="0" fieldPosition="0"/>
    </format>
  </formats>
  <chartFormats count="1">
    <chartFormat chart="0" format="1"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9054DC-FF40-4530-9318-2ED3706C3033}" name="PivotTable2" cacheId="46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
  <location ref="A3:E11" firstHeaderRow="1" firstDataRow="2" firstDataCol="1"/>
  <pivotFields count="3">
    <pivotField axis="axisCol"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1">
    <field x="1"/>
  </rowFields>
  <rowItems count="7">
    <i>
      <x/>
    </i>
    <i>
      <x v="1"/>
    </i>
    <i>
      <x v="2"/>
    </i>
    <i>
      <x v="3"/>
    </i>
    <i>
      <x v="4"/>
    </i>
    <i>
      <x v="5"/>
    </i>
    <i t="grand">
      <x/>
    </i>
  </rowItems>
  <colFields count="1">
    <field x="0"/>
  </colFields>
  <colItems count="4">
    <i>
      <x/>
    </i>
    <i>
      <x v="1"/>
    </i>
    <i>
      <x v="2"/>
    </i>
    <i t="grand">
      <x/>
    </i>
  </colItems>
  <dataFields count="1">
    <dataField name="Sum of Value" fld="2" baseField="0" baseItem="0"/>
  </dataFields>
  <formats count="27">
    <format dxfId="39">
      <pivotArea type="origin" dataOnly="0" labelOnly="1" outline="0" fieldPosition="0"/>
    </format>
    <format dxfId="40">
      <pivotArea collapsedLevelsAreSubtotals="1" fieldPosition="0">
        <references count="1">
          <reference field="1" count="1">
            <x v="5"/>
          </reference>
        </references>
      </pivotArea>
    </format>
    <format dxfId="41">
      <pivotArea collapsedLevelsAreSubtotals="1" fieldPosition="0">
        <references count="1">
          <reference field="1" count="1">
            <x v="1"/>
          </reference>
        </references>
      </pivotArea>
    </format>
    <format dxfId="42">
      <pivotArea collapsedLevelsAreSubtotals="1" fieldPosition="0">
        <references count="1">
          <reference field="1" count="1">
            <x v="3"/>
          </reference>
        </references>
      </pivotArea>
    </format>
    <format dxfId="43">
      <pivotArea collapsedLevelsAreSubtotals="1" fieldPosition="0">
        <references count="1">
          <reference field="1" count="1">
            <x v="2"/>
          </reference>
        </references>
      </pivotArea>
    </format>
    <format dxfId="44">
      <pivotArea collapsedLevelsAreSubtotals="1" fieldPosition="0">
        <references count="1">
          <reference field="1" count="1">
            <x v="0"/>
          </reference>
        </references>
      </pivotArea>
    </format>
    <format dxfId="45">
      <pivotArea collapsedLevelsAreSubtotals="1" fieldPosition="0">
        <references count="1">
          <reference field="1" count="1">
            <x v="4"/>
          </reference>
        </references>
      </pivotArea>
    </format>
    <format dxfId="46">
      <pivotArea type="all" dataOnly="0" outline="0" fieldPosition="0"/>
    </format>
    <format dxfId="47">
      <pivotArea outline="0" collapsedLevelsAreSubtotals="1" fieldPosition="0"/>
    </format>
    <format dxfId="48">
      <pivotArea type="origin" dataOnly="0" labelOnly="1" outline="0" fieldPosition="0"/>
    </format>
    <format dxfId="49">
      <pivotArea field="0" type="button" dataOnly="0" labelOnly="1" outline="0" axis="axisCol" fieldPosition="0"/>
    </format>
    <format dxfId="50">
      <pivotArea type="topRight" dataOnly="0" labelOnly="1" outline="0" fieldPosition="0"/>
    </format>
    <format dxfId="51">
      <pivotArea field="1" type="button" dataOnly="0" labelOnly="1" outline="0" axis="axisRow" fieldPosition="0"/>
    </format>
    <format dxfId="52">
      <pivotArea dataOnly="0" labelOnly="1" outline="0" fieldPosition="0">
        <references count="1">
          <reference field="1" count="0"/>
        </references>
      </pivotArea>
    </format>
    <format dxfId="53">
      <pivotArea dataOnly="0" labelOnly="1" grandRow="1" outline="0" fieldPosition="0"/>
    </format>
    <format dxfId="54">
      <pivotArea dataOnly="0" labelOnly="1" outline="0" fieldPosition="0">
        <references count="1">
          <reference field="0" count="0"/>
        </references>
      </pivotArea>
    </format>
    <format dxfId="55">
      <pivotArea dataOnly="0" labelOnly="1" grandCol="1" outline="0" fieldPosition="0"/>
    </format>
    <format dxfId="56">
      <pivotArea type="all" dataOnly="0" outline="0" fieldPosition="0"/>
    </format>
    <format dxfId="57">
      <pivotArea outline="0" collapsedLevelsAreSubtotals="1" fieldPosition="0"/>
    </format>
    <format dxfId="58">
      <pivotArea type="origin" dataOnly="0" labelOnly="1" outline="0" fieldPosition="0"/>
    </format>
    <format dxfId="59">
      <pivotArea field="0" type="button" dataOnly="0" labelOnly="1" outline="0" axis="axisCol" fieldPosition="0"/>
    </format>
    <format dxfId="60">
      <pivotArea type="topRight" dataOnly="0" labelOnly="1" outline="0" fieldPosition="0"/>
    </format>
    <format dxfId="61">
      <pivotArea field="1" type="button" dataOnly="0" labelOnly="1" outline="0" axis="axisRow" fieldPosition="0"/>
    </format>
    <format dxfId="62">
      <pivotArea dataOnly="0" labelOnly="1" outline="0" fieldPosition="0">
        <references count="1">
          <reference field="1" count="0"/>
        </references>
      </pivotArea>
    </format>
    <format dxfId="63">
      <pivotArea dataOnly="0" labelOnly="1" grandRow="1" outline="0" fieldPosition="0"/>
    </format>
    <format dxfId="64">
      <pivotArea dataOnly="0" labelOnly="1" outline="0" fieldPosition="0">
        <references count="1">
          <reference field="0" count="0"/>
        </references>
      </pivotArea>
    </format>
    <format dxfId="65">
      <pivotArea dataOnly="0" labelOnly="1" grandCol="1" outline="0" fieldPosition="0"/>
    </format>
  </format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 Performance!$A$1:$C$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EAA642-1D61-4A54-95FD-638159D335BD}" name="PivotTable3" cacheId="46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
  <location ref="H3:K8" firstHeaderRow="1" firstDataRow="2" firstDataCol="1"/>
  <pivotFields count="3">
    <pivotField axis="axisRow" compact="0" allDrilled="1" outline="0" subtotalTop="0" showAll="0" defaultSubtotal="0" defaultAttributeDrillState="1">
      <items count="3">
        <item x="0"/>
        <item x="1"/>
        <item x="2"/>
      </items>
    </pivotField>
    <pivotField axis="axisCol" compact="0" allDrilled="1" outline="0" subtotalTop="0" showAll="0" dataSourceSort="1" defaultSubtotal="0" defaultAttributeDrillState="1">
      <items count="6">
        <item s="1" x="0"/>
        <item s="1" x="1"/>
        <item x="2"/>
        <item x="3"/>
        <item x="4"/>
        <item x="5"/>
      </items>
    </pivotField>
    <pivotField dataField="1" compact="0" outline="0" subtotalTop="0" showAll="0" defaultSubtotal="0"/>
  </pivotFields>
  <rowFields count="1">
    <field x="0"/>
  </rowFields>
  <rowItems count="4">
    <i>
      <x/>
    </i>
    <i>
      <x v="1"/>
    </i>
    <i>
      <x v="2"/>
    </i>
    <i t="grand">
      <x/>
    </i>
  </rowItems>
  <colFields count="1">
    <field x="1"/>
  </colFields>
  <colItems count="3">
    <i>
      <x/>
    </i>
    <i>
      <x v="1"/>
    </i>
    <i t="grand">
      <x/>
    </i>
  </colItems>
  <dataFields count="1">
    <dataField name="Sum of Value" fld="2" baseField="0" baseItem="0"/>
  </dataFields>
  <formats count="16">
    <format dxfId="23">
      <pivotArea outline="0" collapsedLevelsAreSubtotals="1" fieldPosition="0">
        <references count="1">
          <reference field="1" count="1" selected="0">
            <x v="4"/>
          </reference>
        </references>
      </pivotArea>
    </format>
    <format dxfId="24">
      <pivotArea outline="0" collapsedLevelsAreSubtotals="1" fieldPosition="0">
        <references count="1">
          <reference field="1" count="1" selected="0">
            <x v="2"/>
          </reference>
        </references>
      </pivotArea>
    </format>
    <format dxfId="25">
      <pivotArea outline="0" fieldPosition="0">
        <references count="1">
          <reference field="1" count="1" selected="0">
            <x v="3"/>
          </reference>
        </references>
      </pivotArea>
    </format>
    <format dxfId="26">
      <pivotArea outline="0" fieldPosition="0">
        <references count="1">
          <reference field="1" count="1" selected="0">
            <x v="0"/>
          </reference>
        </references>
      </pivotArea>
    </format>
    <format dxfId="27">
      <pivotArea outline="0" fieldPosition="0">
        <references count="1">
          <reference field="1" count="1" selected="0">
            <x v="1"/>
          </reference>
        </references>
      </pivotArea>
    </format>
    <format dxfId="28">
      <pivotArea outline="0" fieldPosition="0">
        <references count="1">
          <reference field="1" count="1" selected="0">
            <x v="5"/>
          </reference>
        </references>
      </pivotArea>
    </format>
    <format dxfId="29">
      <pivotArea type="all" dataOnly="0" outline="0" fieldPosition="0"/>
    </format>
    <format dxfId="30">
      <pivotArea outline="0" collapsedLevelsAreSubtotals="1" fieldPosition="0"/>
    </format>
    <format dxfId="31">
      <pivotArea type="origin" dataOnly="0" labelOnly="1" outline="0" fieldPosition="0"/>
    </format>
    <format dxfId="32">
      <pivotArea field="1" type="button" dataOnly="0" labelOnly="1" outline="0" axis="axisCol" fieldPosition="0"/>
    </format>
    <format dxfId="33">
      <pivotArea type="topRight" dataOnly="0" labelOnly="1" outline="0" fieldPosition="0"/>
    </format>
    <format dxfId="34">
      <pivotArea field="0" type="button" dataOnly="0" labelOnly="1" outline="0" axis="axisRow" fieldPosition="0"/>
    </format>
    <format dxfId="35">
      <pivotArea dataOnly="0" labelOnly="1" outline="0" fieldPosition="0">
        <references count="1">
          <reference field="0" count="0"/>
        </references>
      </pivotArea>
    </format>
    <format dxfId="36">
      <pivotArea dataOnly="0" labelOnly="1" grandRow="1" outline="0" fieldPosition="0"/>
    </format>
    <format dxfId="37">
      <pivotArea dataOnly="0" labelOnly="1" outline="0" fieldPosition="0">
        <references count="1">
          <reference field="1" count="2">
            <x v="0"/>
            <x v="1"/>
          </reference>
        </references>
      </pivotArea>
    </format>
    <format dxfId="38">
      <pivotArea dataOnly="0" labelOnly="1" grandCol="1" outline="0" fieldPosition="0"/>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6">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 Performance!$A$1:$C$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4E62ED-5B64-F048-80F2-D183D912048D}" name="Prob 6" cacheId="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R38:AD44" firstHeaderRow="1" firstDataRow="3" firstDataCol="1"/>
  <pivotFields count="4">
    <pivotField axis="axisRow" showAll="0" defaultSubtotal="0">
      <items count="4">
        <item x="3"/>
        <item x="1"/>
        <item x="2"/>
        <item x="0"/>
      </items>
    </pivotField>
    <pivotField axis="axisCol" showAll="0" defaultSubtotal="0">
      <items count="3">
        <item x="0"/>
        <item x="1"/>
        <item x="2"/>
      </items>
    </pivotField>
    <pivotField axis="axisCol" showAll="0" defaultSubtotal="0">
      <items count="4">
        <item x="0"/>
        <item x="1"/>
        <item x="2"/>
        <item x="3"/>
      </items>
    </pivotField>
    <pivotField dataField="1" numFmtId="10" showAll="0" defaultSubtotal="0"/>
  </pivotFields>
  <rowFields count="1">
    <field x="0"/>
  </rowFields>
  <rowItems count="4">
    <i>
      <x/>
    </i>
    <i>
      <x v="1"/>
    </i>
    <i>
      <x v="2"/>
    </i>
    <i>
      <x v="3"/>
    </i>
  </rowItems>
  <colFields count="2">
    <field x="1"/>
    <field x="2"/>
  </colFields>
  <colItems count="12">
    <i>
      <x/>
      <x/>
    </i>
    <i r="1">
      <x v="1"/>
    </i>
    <i r="1">
      <x v="2"/>
    </i>
    <i r="1">
      <x v="3"/>
    </i>
    <i>
      <x v="1"/>
      <x/>
    </i>
    <i r="1">
      <x v="1"/>
    </i>
    <i r="1">
      <x v="2"/>
    </i>
    <i r="1">
      <x v="3"/>
    </i>
    <i>
      <x v="2"/>
      <x/>
    </i>
    <i r="1">
      <x v="1"/>
    </i>
    <i r="1">
      <x v="2"/>
    </i>
    <i r="1">
      <x v="3"/>
    </i>
  </colItems>
  <dataFields count="1">
    <dataField name="Sum of Value" fld="3" baseField="0" baseItem="0" numFmtId="10"/>
  </dataFields>
  <formats count="1">
    <format dxfId="22">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A9F25CD4-DEBE-E842-83EE-0CECDD93F1D2}" sourceName="Company">
  <pivotTables>
    <pivotTable tabId="28" name="PivotTable1"/>
    <pivotTable tabId="28" name="Prob 1"/>
    <pivotTable tabId="28" name="Prob 2"/>
    <pivotTable tabId="28" name="Prob 3"/>
  </pivotTables>
  <data>
    <tabular pivotCacheId="195618045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34D6C9-7C1E-794D-B35E-82605CB590CB}" sourceName="Year">
  <pivotTables>
    <pivotTable tabId="28" name="PivotTable1"/>
    <pivotTable tabId="28" name="Prob 1"/>
    <pivotTable tabId="28" name="Prob 4"/>
    <pivotTable tabId="28" name="Prob 5"/>
  </pivotTables>
  <data>
    <tabular pivotCacheId="19561804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2" xr10:uid="{DCB93E7E-7B80-400E-8FFD-584B284E63A4}" sourceName="[Range].[Metric]">
  <pivotTables>
    <pivotTable tabId="31" name="PivotTable2"/>
  </pivotTables>
  <data>
    <olap pivotCacheId="1672347207">
      <levels count="2">
        <level uniqueName="[Range].[Metric].[(All)]" sourceCaption="(All)" count="0"/>
        <level uniqueName="[Range].[Metric].[Metric]" sourceCaption="Metric" count="6">
          <ranges>
            <range startItem="0">
              <i n="[Range].[Metric].&amp;[Dividend Payout Ratio]" c="Dividend Payout Ratio"/>
              <i n="[Range].[Metric].&amp;[Dividend per Share]" c="Dividend per Share"/>
              <i n="[Range].[Metric].&amp;[Dividend Yield]" c="Dividend Yield"/>
              <i n="[Range].[Metric].&amp;[EPS]" c="EPS"/>
              <i n="[Range].[Metric].&amp;[P/E Ratio]" c="P/E Ratio"/>
              <i n="[Range].[Metric].&amp;[Share Price]" c="Share Price"/>
            </range>
          </ranges>
        </level>
      </levels>
      <selections count="1">
        <selection n="[Range].[Metric].[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6009A3F5-94A0-4FA8-96B2-16ED6112807C}" sourceName="[Range].[Year]">
  <pivotTables>
    <pivotTable tabId="31" name="PivotTable2"/>
  </pivotTables>
  <data>
    <olap pivotCacheId="1672347207">
      <levels count="2">
        <level uniqueName="[Range].[Year].[(All)]" sourceCaption="(All)" count="0"/>
        <level uniqueName="[Range].[Year].[Year]" sourceCaption="Year" count="3">
          <ranges>
            <range startItem="0">
              <i n="[Range].[Year].&amp;[2022]" c="2022"/>
              <i n="[Range].[Year].&amp;[2023]" c="2023"/>
              <i n="[Range].[Year].&amp;[2024]" c="2024"/>
            </range>
          </ranges>
        </level>
      </levels>
      <selections count="1">
        <selection n="[Range].[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63F093A-3F00-DE4E-9A48-BDE133ABC308}" sourceName="Year">
  <pivotTables>
    <pivotTable tabId="29" name="PivotTable1"/>
  </pivotTables>
  <data>
    <tabular pivotCacheId="1467178260">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4E1EFACB-3B22-7248-91E4-87FCD0C88177}" sourceName="Year">
  <pivotTables>
    <pivotTable tabId="29" name="PivotTable2"/>
  </pivotTables>
  <data>
    <tabular pivotCacheId="1418431137">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30D69440-D870-B44B-B93B-48B273C79C11}" sourceName="Metric">
  <pivotTables>
    <pivotTable tabId="28" name="Prob 1"/>
    <pivotTable tabId="28" name="Prob 2"/>
    <pivotTable tabId="28" name="Prob 4"/>
  </pivotTables>
  <data>
    <tabular pivotCacheId="1956180456">
      <items count="4">
        <i x="0" s="1"/>
        <i x="1"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35CCCF57-4578-2F43-9737-53C1F68EFBE4}" sourceName="Period">
  <extLst>
    <x:ext xmlns:x15="http://schemas.microsoft.com/office/spreadsheetml/2010/11/main" uri="{2F2917AC-EB37-4324-AD4E-5DD8C200BD13}">
      <x15:tableSlicerCache tableId="3"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1" xr10:uid="{FC69F833-743E-C448-B3AE-036168012479}" sourceName="Period">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EA949394-7F14-4D49-AA75-FAE432875AFC}" cache="Slicer_Company" caption="Company" rowHeight="230716"/>
  <slicer name="Year 1" xr10:uid="{9B50CD65-EBFB-7C40-A97F-31BB52618B70}" cache="Slicer_Year" caption="Year" rowHeight="230716"/>
  <slicer name="Metric" xr10:uid="{6D25828F-F170-424D-860E-A84AB31501F6}" cache="Slicer_Metric" caption="Metric"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xr10:uid="{AD94B55B-A778-1B4B-B3F2-8FFC9D71103B}" cache="Slicer_Period" caption="Period" rowHeight="230716"/>
  <slicer name="Period 1" xr10:uid="{45E0D400-AC6F-124E-A7EF-065F32457663}" cache="Slicer_Period1" caption="Period"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4C04E8E-B66E-5741-8603-2E8D7C5CFE18}" cache="Slicer_Year1" caption="Year" rowHeight="230716"/>
  <slicer name="Year 2" xr10:uid="{A6256B2A-A6A7-8540-B659-AA5C8A9D09D0}" cache="Slicer_Year3" caption="Year"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3" xr10:uid="{C08F5FFB-0A07-42A9-9875-79359711F1C4}" cache="Slicer_Metric2" caption="Metric" level="1" rowHeight="247650"/>
  <slicer name="Year 3" xr10:uid="{A337D16C-023E-4903-B34E-78A616227C0F}" cache="Slicer_Year2" caption="Year"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DEED92-7F58-455D-8462-32547DC982D2}" name="Table2" displayName="Table2" ref="B30:D36" totalsRowShown="0" headerRowDxfId="21" dataDxfId="20">
  <autoFilter ref="B30:D36" xr:uid="{0DDEED92-7F58-455D-8462-32547DC982D2}">
    <filterColumn colId="0">
      <filters>
        <filter val="Current Ratio"/>
      </filters>
    </filterColumn>
  </autoFilter>
  <tableColumns count="3">
    <tableColumn id="1" xr3:uid="{1BB6AA7D-33A6-4F4E-9C9C-9E15E18A52E2}" name="Recent year's Ratio" dataDxfId="19"/>
    <tableColumn id="2" xr3:uid="{22FDED01-D270-4448-88E8-D08298555EAD}" name="Reject Shop" dataDxfId="18"/>
    <tableColumn id="3" xr3:uid="{8E7AD6BE-1172-42A2-B84A-0ECA3FDB3687}" name="Industry Avg"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1CA26-14D3-4E21-B97B-39F949755881}" name="Table1" displayName="Table1" ref="B3:E6" totalsRowShown="0" headerRowDxfId="16" dataDxfId="15">
  <autoFilter ref="B3:E6" xr:uid="{8DF1CA26-14D3-4E21-B97B-39F949755881}"/>
  <tableColumns count="4">
    <tableColumn id="1" xr3:uid="{CD5F16D0-6B1F-46B2-B9F7-E733A95C5437}" name="Ratios" dataDxfId="14"/>
    <tableColumn id="2" xr3:uid="{8BA17B0D-105A-4A7E-B612-2C97D94BD30C}" name="2022" dataDxfId="13"/>
    <tableColumn id="3" xr3:uid="{492D0AF0-EDD3-4A77-9CCE-CC09A2E261D3}" name="2023" dataDxfId="12"/>
    <tableColumn id="4" xr3:uid="{880A11E9-0547-42DA-9AC0-DA0951FED2CD}" name="2024"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EEAD5-AA4E-4D10-AE70-A7E4CFF1324C}" name="Table3" displayName="Table3" ref="B3:E6" totalsRowShown="0" headerRowDxfId="10" dataDxfId="9">
  <autoFilter ref="B3:E6" xr:uid="{950EEAD5-AA4E-4D10-AE70-A7E4CFF1324C}"/>
  <tableColumns count="4">
    <tableColumn id="1" xr3:uid="{E5FAEE69-EC7E-4EA7-B0D4-1E4FC2E0528D}" name="Period" dataDxfId="8"/>
    <tableColumn id="2" xr3:uid="{0671CB3B-F9BF-4135-BE54-2407D0EBB702}" name="Asset Turnover" dataDxfId="7">
      <calculatedColumnFormula>Ratios!H8</calculatedColumnFormula>
    </tableColumn>
    <tableColumn id="3" xr3:uid="{B4E71AC3-05E7-476E-B68E-321686779DB2}" name="Non-Current Asset Turnover" dataDxfId="6"/>
    <tableColumn id="4" xr3:uid="{A1CA0A9C-D234-4561-AFFC-8E1D204107D5}" name="PPE Turnover"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8F8511-435B-D74D-AB23-402C8E5017D1}" name="Table4" displayName="Table4" ref="B35:D38" totalsRowShown="0" headerRowDxfId="4" dataDxfId="3">
  <autoFilter ref="B35:D38" xr:uid="{828F8511-435B-D74D-AB23-402C8E5017D1}"/>
  <tableColumns count="3">
    <tableColumn id="1" xr3:uid="{5143DD71-6583-A542-A3CB-08AF9561C974}" name="Period" dataDxfId="2"/>
    <tableColumn id="2" xr3:uid="{5BBE49A1-6CAC-144C-8571-17DCA7FE3512}" name="Inventory Turnover" dataDxfId="1">
      <calculatedColumnFormula>(Ratios!F12)</calculatedColumnFormula>
    </tableColumn>
    <tableColumn id="3" xr3:uid="{C339DB6B-F330-3242-B30B-039015C94077}" name="Days Invent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DAEE9-604F-854E-8C6D-E8B3CFA4DDFF}">
  <dimension ref="G3:AE44"/>
  <sheetViews>
    <sheetView tabSelected="1" zoomScale="68" workbookViewId="0">
      <selection activeCell="U20" sqref="U20"/>
    </sheetView>
  </sheetViews>
  <sheetFormatPr defaultColWidth="11.42578125" defaultRowHeight="14.45"/>
  <cols>
    <col min="1" max="1" width="11.42578125" style="71"/>
    <col min="2" max="2" width="13.42578125" style="71" bestFit="1" customWidth="1"/>
    <col min="3" max="3" width="15.7109375" style="71" bestFit="1" customWidth="1"/>
    <col min="4" max="4" width="6.42578125" style="71" bestFit="1" customWidth="1"/>
    <col min="5" max="5" width="7.7109375" style="71" bestFit="1" customWidth="1"/>
    <col min="6" max="6" width="11.42578125" style="71" bestFit="1" customWidth="1"/>
    <col min="7" max="7" width="15" style="71" bestFit="1" customWidth="1"/>
    <col min="8" max="8" width="17.7109375" style="71" bestFit="1" customWidth="1"/>
    <col min="9" max="9" width="16.140625" style="71" bestFit="1" customWidth="1"/>
    <col min="10" max="10" width="6.42578125" style="71" bestFit="1" customWidth="1"/>
    <col min="11" max="11" width="7.7109375" style="71" bestFit="1" customWidth="1"/>
    <col min="12" max="12" width="11.42578125" style="71" bestFit="1" customWidth="1"/>
    <col min="13" max="13" width="16.140625" style="71" bestFit="1" customWidth="1"/>
    <col min="14" max="14" width="6.42578125" style="71" bestFit="1" customWidth="1"/>
    <col min="15" max="15" width="7.7109375" style="71" bestFit="1" customWidth="1"/>
    <col min="16" max="16" width="11.42578125" style="71" bestFit="1" customWidth="1"/>
    <col min="17" max="17" width="16.140625" style="71" bestFit="1" customWidth="1"/>
    <col min="18" max="19" width="7.7109375" style="71" bestFit="1" customWidth="1"/>
    <col min="20" max="20" width="6.28515625" style="71" bestFit="1" customWidth="1"/>
    <col min="21" max="21" width="7.42578125" style="71" bestFit="1" customWidth="1"/>
    <col min="22" max="22" width="11.140625" style="71" bestFit="1" customWidth="1"/>
    <col min="23" max="23" width="15.7109375" style="71" bestFit="1" customWidth="1"/>
    <col min="24" max="25" width="7.42578125" style="71" bestFit="1" customWidth="1"/>
    <col min="26" max="26" width="7.140625" style="71" bestFit="1" customWidth="1"/>
    <col min="27" max="27" width="10.7109375" style="71" bestFit="1" customWidth="1"/>
    <col min="28" max="28" width="15.42578125" style="71" bestFit="1" customWidth="1"/>
    <col min="29" max="30" width="7.140625" style="71" bestFit="1" customWidth="1"/>
    <col min="31" max="31" width="16.140625" style="71" bestFit="1" customWidth="1"/>
    <col min="32" max="33" width="7.7109375" style="71" bestFit="1" customWidth="1"/>
    <col min="34" max="16384" width="11.42578125" style="71"/>
  </cols>
  <sheetData>
    <row r="3" spans="27:31">
      <c r="AA3" s="48" t="s">
        <v>0</v>
      </c>
      <c r="AB3" t="s">
        <v>1</v>
      </c>
      <c r="AC3"/>
      <c r="AD3"/>
      <c r="AE3"/>
    </row>
    <row r="4" spans="27:31">
      <c r="AA4" s="20"/>
      <c r="AB4" s="20"/>
      <c r="AC4" s="20"/>
      <c r="AD4"/>
      <c r="AE4"/>
    </row>
    <row r="5" spans="27:31">
      <c r="AA5" s="48" t="s">
        <v>2</v>
      </c>
      <c r="AB5" s="48" t="s">
        <v>3</v>
      </c>
      <c r="AC5"/>
      <c r="AD5"/>
      <c r="AE5"/>
    </row>
    <row r="6" spans="27:31">
      <c r="AA6" s="48" t="s">
        <v>4</v>
      </c>
      <c r="AB6" t="s">
        <v>5</v>
      </c>
      <c r="AC6" t="s">
        <v>6</v>
      </c>
      <c r="AD6" t="s">
        <v>7</v>
      </c>
      <c r="AE6" t="s">
        <v>8</v>
      </c>
    </row>
    <row r="7" spans="27:31">
      <c r="AA7" s="53" t="s">
        <v>9</v>
      </c>
      <c r="AB7" s="56">
        <v>4.5703839999999996E-2</v>
      </c>
      <c r="AC7" s="56">
        <v>2.9121320000000003E-2</v>
      </c>
      <c r="AD7" s="56">
        <v>6.7736840000000006E-2</v>
      </c>
      <c r="AE7" s="56">
        <v>0.11289474000000001</v>
      </c>
    </row>
    <row r="8" spans="27:31">
      <c r="AA8" s="53" t="s">
        <v>10</v>
      </c>
      <c r="AB8" s="56">
        <v>0.20194382999999999</v>
      </c>
      <c r="AC8" s="56">
        <v>0.12066398</v>
      </c>
      <c r="AD8" s="56">
        <v>0.24177561999999997</v>
      </c>
      <c r="AE8" s="56">
        <v>0.40295940000000002</v>
      </c>
    </row>
    <row r="9" spans="27:31">
      <c r="AA9" s="53" t="s">
        <v>11</v>
      </c>
      <c r="AB9" s="56">
        <v>0.14062634000000002</v>
      </c>
      <c r="AC9" s="56">
        <v>0.10239045000000001</v>
      </c>
      <c r="AD9" s="56">
        <v>0.19802186999999999</v>
      </c>
      <c r="AE9" s="56">
        <v>0.77070050000000001</v>
      </c>
    </row>
    <row r="10" spans="27:31">
      <c r="AA10" s="53" t="s">
        <v>12</v>
      </c>
      <c r="AB10" s="56">
        <v>6.9042549999999994E-2</v>
      </c>
      <c r="AC10" s="56">
        <v>2.8024819999999999E-2</v>
      </c>
      <c r="AD10" s="56">
        <v>4.8633209999999996E-2</v>
      </c>
      <c r="AE10" s="56">
        <v>0.13163979000000001</v>
      </c>
    </row>
    <row r="12" spans="27:31">
      <c r="AA12" s="48" t="s">
        <v>13</v>
      </c>
      <c r="AB12" t="s">
        <v>1</v>
      </c>
      <c r="AC12"/>
      <c r="AD12"/>
      <c r="AE12"/>
    </row>
    <row r="13" spans="27:31">
      <c r="AA13"/>
      <c r="AB13"/>
      <c r="AC13"/>
      <c r="AD13"/>
      <c r="AE13"/>
    </row>
    <row r="14" spans="27:31">
      <c r="AA14" s="48" t="s">
        <v>2</v>
      </c>
      <c r="AB14" s="48" t="s">
        <v>3</v>
      </c>
      <c r="AC14"/>
      <c r="AD14"/>
      <c r="AE14"/>
    </row>
    <row r="15" spans="27:31">
      <c r="AA15" s="48" t="s">
        <v>4</v>
      </c>
      <c r="AB15" t="s">
        <v>9</v>
      </c>
      <c r="AC15" t="s">
        <v>10</v>
      </c>
      <c r="AD15" t="s">
        <v>11</v>
      </c>
      <c r="AE15" t="s">
        <v>12</v>
      </c>
    </row>
    <row r="16" spans="27:31">
      <c r="AA16" s="53" t="s">
        <v>14</v>
      </c>
      <c r="AB16" s="56">
        <v>0.13290304</v>
      </c>
      <c r="AC16" s="56">
        <v>0.23473146</v>
      </c>
      <c r="AD16" s="56">
        <v>0.32379940000000001</v>
      </c>
      <c r="AE16" s="56">
        <v>9.7924280000000002E-2</v>
      </c>
    </row>
    <row r="17" spans="7:31">
      <c r="AA17" s="53" t="s">
        <v>15</v>
      </c>
      <c r="AB17" s="56">
        <v>0.10699853000000001</v>
      </c>
      <c r="AC17" s="56">
        <v>0.32493168</v>
      </c>
      <c r="AD17" s="56">
        <v>0.45377003999999999</v>
      </c>
      <c r="AE17" s="56">
        <v>0.11856583</v>
      </c>
    </row>
    <row r="18" spans="7:31">
      <c r="AA18" s="53" t="s">
        <v>16</v>
      </c>
      <c r="AB18" s="56">
        <v>1.555517E-2</v>
      </c>
      <c r="AC18" s="56">
        <v>0.40767969000000004</v>
      </c>
      <c r="AD18" s="56">
        <v>0.43416972000000004</v>
      </c>
      <c r="AE18" s="56">
        <v>6.0850260000000003E-2</v>
      </c>
    </row>
    <row r="20" spans="7:31">
      <c r="AA20" s="48" t="s">
        <v>17</v>
      </c>
      <c r="AB20" t="s">
        <v>1</v>
      </c>
      <c r="AC20"/>
    </row>
    <row r="21" spans="7:31">
      <c r="AA21"/>
      <c r="AB21"/>
      <c r="AC21"/>
    </row>
    <row r="22" spans="7:31">
      <c r="G22" s="71" t="s">
        <v>2</v>
      </c>
      <c r="H22" s="71" t="s">
        <v>3</v>
      </c>
      <c r="AA22" s="48" t="s">
        <v>2</v>
      </c>
      <c r="AB22" s="48" t="s">
        <v>3</v>
      </c>
      <c r="AC22"/>
    </row>
    <row r="23" spans="7:31">
      <c r="H23" s="71" t="s">
        <v>14</v>
      </c>
      <c r="L23" s="71" t="s">
        <v>15</v>
      </c>
      <c r="P23" s="71" t="s">
        <v>16</v>
      </c>
      <c r="AA23" s="48" t="s">
        <v>4</v>
      </c>
      <c r="AB23" t="s">
        <v>5</v>
      </c>
      <c r="AC23" t="s">
        <v>8</v>
      </c>
    </row>
    <row r="24" spans="7:31">
      <c r="G24" s="71" t="s">
        <v>4</v>
      </c>
      <c r="H24" s="71" t="s">
        <v>5</v>
      </c>
      <c r="I24" s="71" t="s">
        <v>6</v>
      </c>
      <c r="J24" s="71" t="s">
        <v>7</v>
      </c>
      <c r="K24" s="71" t="s">
        <v>8</v>
      </c>
      <c r="L24" s="71" t="s">
        <v>5</v>
      </c>
      <c r="M24" s="71" t="s">
        <v>6</v>
      </c>
      <c r="N24" s="71" t="s">
        <v>7</v>
      </c>
      <c r="O24" s="71" t="s">
        <v>8</v>
      </c>
      <c r="P24" s="71" t="s">
        <v>5</v>
      </c>
      <c r="Q24" s="71" t="s">
        <v>6</v>
      </c>
      <c r="R24" s="71" t="s">
        <v>7</v>
      </c>
      <c r="S24" s="71" t="s">
        <v>8</v>
      </c>
      <c r="AA24" s="53" t="s">
        <v>14</v>
      </c>
      <c r="AB24" s="56">
        <v>0.11358242999999998</v>
      </c>
      <c r="AC24" s="56">
        <v>0.42298958000000003</v>
      </c>
    </row>
    <row r="25" spans="7:31">
      <c r="G25" s="75" t="s">
        <v>9</v>
      </c>
      <c r="H25" s="72">
        <v>1.241255E-2</v>
      </c>
      <c r="I25" s="72">
        <v>1.649049E-2</v>
      </c>
      <c r="J25" s="72">
        <v>3.9E-2</v>
      </c>
      <c r="K25" s="72">
        <v>6.5000000000000002E-2</v>
      </c>
      <c r="L25" s="72">
        <v>3.0303029999999998E-2</v>
      </c>
      <c r="M25" s="72">
        <v>1.073059E-2</v>
      </c>
      <c r="N25" s="72">
        <v>2.473684E-2</v>
      </c>
      <c r="O25" s="72">
        <v>4.1228069999999999E-2</v>
      </c>
      <c r="P25" s="72">
        <v>2.98826E-3</v>
      </c>
      <c r="Q25" s="72">
        <v>1.9002400000000001E-3</v>
      </c>
      <c r="R25" s="72">
        <v>4.0000000000000001E-3</v>
      </c>
      <c r="S25" s="72">
        <v>6.6666700000000004E-3</v>
      </c>
      <c r="AA25" s="53" t="s">
        <v>15</v>
      </c>
      <c r="AB25" s="56">
        <v>0.18322205</v>
      </c>
      <c r="AC25" s="56">
        <v>0.51908734000000001</v>
      </c>
    </row>
    <row r="26" spans="7:31">
      <c r="G26" s="75" t="s">
        <v>10</v>
      </c>
      <c r="H26" s="72">
        <v>4.3383499999999998E-2</v>
      </c>
      <c r="I26" s="72">
        <v>3.1347960000000001E-2</v>
      </c>
      <c r="J26" s="72">
        <v>0.06</v>
      </c>
      <c r="K26" s="72">
        <v>0.1</v>
      </c>
      <c r="L26" s="72">
        <v>7.2308419999999998E-2</v>
      </c>
      <c r="M26" s="72">
        <v>3.9793040000000002E-2</v>
      </c>
      <c r="N26" s="72">
        <v>7.9811319999999991E-2</v>
      </c>
      <c r="O26" s="72">
        <v>0.1330189</v>
      </c>
      <c r="P26" s="72">
        <v>8.6251909999999987E-2</v>
      </c>
      <c r="Q26" s="72">
        <v>4.9522980000000001E-2</v>
      </c>
      <c r="R26" s="72">
        <v>0.10196429999999999</v>
      </c>
      <c r="S26" s="72">
        <v>0.16994050000000002</v>
      </c>
      <c r="AA26" s="53" t="s">
        <v>16</v>
      </c>
      <c r="AB26" s="56">
        <v>0.16051208</v>
      </c>
      <c r="AC26" s="56">
        <v>0.47611750999999997</v>
      </c>
    </row>
    <row r="27" spans="7:31">
      <c r="G27" s="75" t="s">
        <v>11</v>
      </c>
      <c r="H27" s="72">
        <v>3.5263929999999999E-2</v>
      </c>
      <c r="I27" s="72">
        <v>2.5476540000000002E-2</v>
      </c>
      <c r="J27" s="72">
        <v>5.2452829999999999E-2</v>
      </c>
      <c r="K27" s="72">
        <v>0.21060610000000002</v>
      </c>
      <c r="L27" s="72">
        <v>5.3131869999999998E-2</v>
      </c>
      <c r="M27" s="72">
        <v>3.8524559999999999E-2</v>
      </c>
      <c r="N27" s="72">
        <v>7.4752509999999994E-2</v>
      </c>
      <c r="O27" s="72">
        <v>0.28736109999999998</v>
      </c>
      <c r="P27" s="72">
        <v>5.2230540000000006E-2</v>
      </c>
      <c r="Q27" s="72">
        <v>3.8389350000000003E-2</v>
      </c>
      <c r="R27" s="72">
        <v>7.0816530000000003E-2</v>
      </c>
      <c r="S27" s="72">
        <v>0.27273330000000001</v>
      </c>
    </row>
    <row r="28" spans="7:31">
      <c r="G28" s="75" t="s">
        <v>12</v>
      </c>
      <c r="H28" s="72">
        <v>2.2522449999999999E-2</v>
      </c>
      <c r="I28" s="72">
        <v>1.0023230000000001E-2</v>
      </c>
      <c r="J28" s="72">
        <v>1.799512E-2</v>
      </c>
      <c r="K28" s="72">
        <v>4.7383480000000006E-2</v>
      </c>
      <c r="L28" s="72">
        <v>2.7478729999999996E-2</v>
      </c>
      <c r="M28" s="72">
        <v>1.2490879999999999E-2</v>
      </c>
      <c r="N28" s="72">
        <v>2.1116950000000002E-2</v>
      </c>
      <c r="O28" s="72">
        <v>5.7479269999999999E-2</v>
      </c>
      <c r="P28" s="72">
        <v>1.9041369999999998E-2</v>
      </c>
      <c r="Q28" s="72">
        <v>5.5107099999999994E-3</v>
      </c>
      <c r="R28" s="72">
        <v>9.5211400000000009E-3</v>
      </c>
      <c r="S28" s="72">
        <v>2.6777039999999998E-2</v>
      </c>
      <c r="AA28" s="48" t="s">
        <v>0</v>
      </c>
      <c r="AB28" t="s">
        <v>1</v>
      </c>
      <c r="AC28"/>
      <c r="AD28"/>
      <c r="AE28"/>
    </row>
    <row r="29" spans="7:31">
      <c r="AA29"/>
      <c r="AB29"/>
      <c r="AC29"/>
      <c r="AD29"/>
      <c r="AE29"/>
    </row>
    <row r="30" spans="7:31">
      <c r="AA30" s="48" t="s">
        <v>2</v>
      </c>
      <c r="AB30" s="48" t="s">
        <v>3</v>
      </c>
      <c r="AC30"/>
      <c r="AD30"/>
      <c r="AE30"/>
    </row>
    <row r="31" spans="7:31">
      <c r="AA31" s="48" t="s">
        <v>4</v>
      </c>
      <c r="AB31" t="s">
        <v>9</v>
      </c>
      <c r="AC31" t="s">
        <v>10</v>
      </c>
      <c r="AD31" t="s">
        <v>11</v>
      </c>
      <c r="AE31" t="s">
        <v>12</v>
      </c>
    </row>
    <row r="32" spans="7:31">
      <c r="AA32" s="53" t="s">
        <v>5</v>
      </c>
      <c r="AB32" s="56">
        <v>4.5703839999999996E-2</v>
      </c>
      <c r="AC32" s="56">
        <v>0.20194382999999999</v>
      </c>
      <c r="AD32" s="56">
        <v>0.14062634000000002</v>
      </c>
      <c r="AE32" s="56">
        <v>6.9042549999999994E-2</v>
      </c>
    </row>
    <row r="33" spans="27:31">
      <c r="AA33" s="53" t="s">
        <v>6</v>
      </c>
      <c r="AB33" s="56">
        <v>2.9121320000000003E-2</v>
      </c>
      <c r="AC33" s="56">
        <v>0.12066398</v>
      </c>
      <c r="AD33" s="56">
        <v>0.10239045000000001</v>
      </c>
      <c r="AE33" s="56">
        <v>2.8024819999999999E-2</v>
      </c>
    </row>
    <row r="34" spans="27:31">
      <c r="AA34" s="53" t="s">
        <v>7</v>
      </c>
      <c r="AB34" s="56">
        <v>6.7736840000000006E-2</v>
      </c>
      <c r="AC34" s="56">
        <v>0.24177561999999997</v>
      </c>
      <c r="AD34" s="56">
        <v>0.19802186999999999</v>
      </c>
      <c r="AE34" s="56">
        <v>4.8633209999999996E-2</v>
      </c>
    </row>
    <row r="35" spans="27:31">
      <c r="AA35" s="53" t="s">
        <v>8</v>
      </c>
      <c r="AB35" s="56">
        <v>0.11289474000000001</v>
      </c>
      <c r="AC35" s="56">
        <v>0.40295940000000002</v>
      </c>
      <c r="AD35" s="56">
        <v>0.77070050000000001</v>
      </c>
      <c r="AE35" s="56">
        <v>0.13163979000000001</v>
      </c>
    </row>
    <row r="37" spans="27:31">
      <c r="AA37" s="48" t="s">
        <v>17</v>
      </c>
      <c r="AB37" t="s">
        <v>12</v>
      </c>
      <c r="AC37"/>
      <c r="AD37"/>
    </row>
    <row r="38" spans="27:31">
      <c r="AA38"/>
      <c r="AB38"/>
      <c r="AC38"/>
      <c r="AD38"/>
    </row>
    <row r="39" spans="27:31">
      <c r="AA39" s="48" t="s">
        <v>2</v>
      </c>
      <c r="AB39" s="48" t="s">
        <v>3</v>
      </c>
      <c r="AC39"/>
      <c r="AD39"/>
    </row>
    <row r="40" spans="27:31">
      <c r="AA40" s="48" t="s">
        <v>4</v>
      </c>
      <c r="AB40" t="s">
        <v>14</v>
      </c>
      <c r="AC40" t="s">
        <v>15</v>
      </c>
      <c r="AD40" t="s">
        <v>16</v>
      </c>
    </row>
    <row r="41" spans="27:31">
      <c r="AA41" s="53" t="s">
        <v>5</v>
      </c>
      <c r="AB41" s="56">
        <v>2.2522449999999999E-2</v>
      </c>
      <c r="AC41" s="56">
        <v>2.7478729999999996E-2</v>
      </c>
      <c r="AD41" s="56">
        <v>1.9041369999999998E-2</v>
      </c>
    </row>
    <row r="42" spans="27:31">
      <c r="AA42" s="53" t="s">
        <v>6</v>
      </c>
      <c r="AB42" s="56">
        <v>1.0023230000000001E-2</v>
      </c>
      <c r="AC42" s="56">
        <v>1.2490879999999999E-2</v>
      </c>
      <c r="AD42" s="56">
        <v>5.5107099999999994E-3</v>
      </c>
    </row>
    <row r="43" spans="27:31">
      <c r="AA43" s="53" t="s">
        <v>7</v>
      </c>
      <c r="AB43" s="56">
        <v>1.799512E-2</v>
      </c>
      <c r="AC43" s="56">
        <v>2.1116950000000002E-2</v>
      </c>
      <c r="AD43" s="56">
        <v>9.5211400000000009E-3</v>
      </c>
    </row>
    <row r="44" spans="27:31">
      <c r="AA44" s="53" t="s">
        <v>8</v>
      </c>
      <c r="AB44" s="56">
        <v>4.7383480000000006E-2</v>
      </c>
      <c r="AC44" s="56">
        <v>5.7479269999999999E-2</v>
      </c>
      <c r="AD44" s="56">
        <v>2.6777039999999998E-2</v>
      </c>
    </row>
  </sheetData>
  <conditionalFormatting pivot="1" sqref="H25:S28">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F4FF-8658-40B3-908F-0B7F430F37B3}">
  <dimension ref="B3:E35"/>
  <sheetViews>
    <sheetView zoomScale="93" workbookViewId="0">
      <selection activeCell="E31" sqref="E31"/>
    </sheetView>
  </sheetViews>
  <sheetFormatPr defaultColWidth="11.42578125" defaultRowHeight="14.45"/>
  <cols>
    <col min="1" max="1" width="11.42578125" style="71"/>
    <col min="2" max="2" width="22.42578125" style="71" customWidth="1"/>
    <col min="3" max="3" width="14" style="71" customWidth="1"/>
    <col min="4" max="4" width="15.42578125" style="71" customWidth="1"/>
    <col min="5" max="7" width="11.42578125" style="71"/>
    <col min="8" max="8" width="12.140625" style="71" bestFit="1" customWidth="1"/>
    <col min="9" max="11" width="20.7109375" style="71" bestFit="1" customWidth="1"/>
    <col min="12" max="12" width="10" style="71" bestFit="1" customWidth="1"/>
    <col min="13" max="13" width="20.7109375" style="71" bestFit="1" customWidth="1"/>
    <col min="14" max="14" width="10" style="71" bestFit="1" customWidth="1"/>
    <col min="15" max="15" width="21" style="71" bestFit="1" customWidth="1"/>
    <col min="16" max="16" width="10" style="71" bestFit="1" customWidth="1"/>
    <col min="17" max="17" width="21" style="71" bestFit="1" customWidth="1"/>
    <col min="18" max="18" width="10" style="71" bestFit="1" customWidth="1"/>
    <col min="19" max="16384" width="11.42578125" style="71"/>
  </cols>
  <sheetData>
    <row r="3" spans="2:5">
      <c r="B3" s="76" t="s">
        <v>18</v>
      </c>
      <c r="C3" s="76" t="s">
        <v>14</v>
      </c>
      <c r="D3" s="76" t="s">
        <v>15</v>
      </c>
      <c r="E3" s="71" t="s">
        <v>16</v>
      </c>
    </row>
    <row r="4" spans="2:5">
      <c r="B4" s="71" t="s">
        <v>19</v>
      </c>
      <c r="C4" s="71">
        <v>1.3401719783908193</v>
      </c>
      <c r="D4" s="71">
        <v>1.3115588834339937</v>
      </c>
      <c r="E4" s="71">
        <v>1.2581318511656632</v>
      </c>
    </row>
    <row r="5" spans="2:5">
      <c r="B5" s="77" t="s">
        <v>20</v>
      </c>
      <c r="C5" s="71">
        <v>0.61764536649298341</v>
      </c>
      <c r="D5" s="71">
        <v>0.51363331331897011</v>
      </c>
      <c r="E5" s="71">
        <v>0.35372549019607841</v>
      </c>
    </row>
    <row r="6" spans="2:5">
      <c r="B6" s="71" t="s">
        <v>21</v>
      </c>
      <c r="C6" s="71">
        <v>0.74251190742575834</v>
      </c>
      <c r="D6" s="71">
        <v>0.65352782585149338</v>
      </c>
      <c r="E6" s="71">
        <v>0.63058205959549174</v>
      </c>
    </row>
    <row r="30" spans="2:4">
      <c r="B30" s="71" t="s">
        <v>22</v>
      </c>
      <c r="C30" s="78" t="s">
        <v>23</v>
      </c>
      <c r="D30" s="71" t="s">
        <v>24</v>
      </c>
    </row>
    <row r="31" spans="2:4">
      <c r="B31" s="71" t="s">
        <v>19</v>
      </c>
      <c r="C31" s="75">
        <v>1.2</v>
      </c>
      <c r="D31" s="76" t="s">
        <v>25</v>
      </c>
    </row>
    <row r="32" spans="2:4" hidden="1">
      <c r="B32" s="77" t="s">
        <v>20</v>
      </c>
      <c r="C32" s="75">
        <v>0.3</v>
      </c>
      <c r="D32" s="76" t="s">
        <v>26</v>
      </c>
    </row>
    <row r="33" spans="2:4" hidden="1">
      <c r="B33" s="71" t="s">
        <v>21</v>
      </c>
      <c r="C33" s="75">
        <v>0.6</v>
      </c>
      <c r="D33" s="76" t="s">
        <v>27</v>
      </c>
    </row>
    <row r="34" spans="2:4">
      <c r="B34" s="71" t="s">
        <v>28</v>
      </c>
      <c r="C34" s="75">
        <v>0.3</v>
      </c>
      <c r="D34" s="76" t="s">
        <v>29</v>
      </c>
    </row>
    <row r="35" spans="2:4">
      <c r="B35" s="71" t="s">
        <v>30</v>
      </c>
      <c r="C35" s="75">
        <v>0.6</v>
      </c>
      <c r="D35" s="76" t="s">
        <v>31</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3E7F-C1BE-4990-A9C1-D430FDA243C8}">
  <dimension ref="B3:R56"/>
  <sheetViews>
    <sheetView topLeftCell="A31" zoomScale="50" workbookViewId="0">
      <selection activeCell="G57" sqref="G57"/>
    </sheetView>
  </sheetViews>
  <sheetFormatPr defaultColWidth="8.7109375" defaultRowHeight="14.45"/>
  <cols>
    <col min="1" max="1" width="8.7109375" style="90"/>
    <col min="2" max="2" width="17.7109375" style="90" bestFit="1" customWidth="1"/>
    <col min="3" max="4" width="11.7109375" style="90" bestFit="1" customWidth="1"/>
    <col min="5" max="5" width="19" style="90" bestFit="1" customWidth="1"/>
    <col min="6" max="6" width="10.7109375" style="90" customWidth="1"/>
    <col min="7" max="16384" width="8.7109375" style="90"/>
  </cols>
  <sheetData>
    <row r="3" spans="2:18" ht="25.9">
      <c r="B3" s="93" t="s">
        <v>32</v>
      </c>
      <c r="C3" s="93" t="s">
        <v>33</v>
      </c>
      <c r="D3" s="93" t="s">
        <v>34</v>
      </c>
      <c r="E3" s="93" t="s">
        <v>35</v>
      </c>
    </row>
    <row r="4" spans="2:18" ht="25.9">
      <c r="B4" s="95">
        <v>2022</v>
      </c>
      <c r="C4" s="95">
        <v>1.795051</v>
      </c>
      <c r="D4" s="95">
        <v>3.2095220000000002</v>
      </c>
      <c r="E4" s="95">
        <v>16.007331000000001</v>
      </c>
      <c r="N4" s="92"/>
      <c r="O4" s="92"/>
      <c r="P4" s="92"/>
      <c r="Q4" s="92"/>
      <c r="R4" s="92"/>
    </row>
    <row r="5" spans="2:18" ht="25.9">
      <c r="B5" s="95">
        <v>2023</v>
      </c>
      <c r="C5" s="95">
        <v>1.678172</v>
      </c>
      <c r="D5" s="95">
        <v>3.0120629999999999</v>
      </c>
      <c r="E5" s="95">
        <v>16.101165000000002</v>
      </c>
      <c r="N5" s="92"/>
      <c r="O5" s="92"/>
      <c r="P5" s="92"/>
      <c r="Q5" s="92"/>
      <c r="R5" s="92"/>
    </row>
    <row r="6" spans="2:18" ht="25.9">
      <c r="B6" s="95">
        <v>2024</v>
      </c>
      <c r="C6" s="95">
        <v>1.7226859999999999</v>
      </c>
      <c r="D6" s="95">
        <v>3.0266820000000001</v>
      </c>
      <c r="E6" s="96">
        <v>16.442087000000001</v>
      </c>
      <c r="F6" s="91"/>
      <c r="N6" s="92"/>
      <c r="O6" s="92"/>
      <c r="P6" s="92"/>
      <c r="Q6" s="92"/>
      <c r="R6" s="92"/>
    </row>
    <row r="7" spans="2:18">
      <c r="E7" s="91"/>
      <c r="F7" s="91"/>
    </row>
    <row r="35" spans="2:4" ht="25.9">
      <c r="B35" s="93" t="s">
        <v>32</v>
      </c>
      <c r="C35" s="93" t="s">
        <v>36</v>
      </c>
      <c r="D35" s="93" t="s">
        <v>37</v>
      </c>
    </row>
    <row r="36" spans="2:4" ht="25.9">
      <c r="B36" s="95">
        <v>2022</v>
      </c>
      <c r="C36" s="95">
        <v>4.3955209999999996</v>
      </c>
      <c r="D36" s="95">
        <v>83</v>
      </c>
    </row>
    <row r="37" spans="2:4" ht="25.9">
      <c r="B37" s="95">
        <v>2023</v>
      </c>
      <c r="C37" s="95">
        <v>3.976175</v>
      </c>
      <c r="D37" s="95">
        <v>92</v>
      </c>
    </row>
    <row r="38" spans="2:4" ht="25.9">
      <c r="B38" s="95">
        <v>2024</v>
      </c>
      <c r="C38" s="95">
        <v>3.6288809999999998</v>
      </c>
      <c r="D38" s="95">
        <v>101</v>
      </c>
    </row>
    <row r="54" spans="3:5" ht="25.9">
      <c r="C54" s="94"/>
      <c r="D54" s="94"/>
      <c r="E54" s="94"/>
    </row>
    <row r="55" spans="3:5" ht="25.9">
      <c r="C55" s="94"/>
      <c r="D55" s="94"/>
      <c r="E55" s="94"/>
    </row>
    <row r="56" spans="3:5" ht="25.9">
      <c r="C56" s="94"/>
      <c r="D56" s="94"/>
      <c r="E56" s="94"/>
    </row>
  </sheetData>
  <phoneticPr fontId="5" type="noConversion"/>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FD78-E531-4764-8051-125A73DAA0AC}">
  <dimension ref="A1:O19"/>
  <sheetViews>
    <sheetView zoomScale="81" workbookViewId="0">
      <selection activeCell="B20" sqref="B20"/>
    </sheetView>
  </sheetViews>
  <sheetFormatPr defaultColWidth="8.7109375" defaultRowHeight="14.45"/>
  <cols>
    <col min="1" max="1" width="16.42578125" style="71" bestFit="1" customWidth="1"/>
    <col min="2" max="6" width="8.7109375" style="71"/>
    <col min="7" max="7" width="12.28515625" style="71" bestFit="1" customWidth="1"/>
    <col min="8" max="8" width="14" style="71" bestFit="1" customWidth="1"/>
    <col min="9" max="9" width="12" style="71" bestFit="1" customWidth="1"/>
    <col min="10" max="10" width="16.7109375" style="71" bestFit="1" customWidth="1"/>
    <col min="11" max="11" width="8.7109375" style="71"/>
    <col min="12" max="12" width="11.42578125" style="71" bestFit="1" customWidth="1"/>
    <col min="13" max="13" width="12.28515625" style="71" bestFit="1" customWidth="1"/>
    <col min="14" max="14" width="16.42578125" style="71" bestFit="1" customWidth="1"/>
    <col min="15" max="15" width="12" style="71" bestFit="1" customWidth="1"/>
    <col min="16" max="16" width="14.28515625" style="71" bestFit="1" customWidth="1"/>
    <col min="17" max="18" width="19.42578125" style="71" bestFit="1" customWidth="1"/>
    <col min="19" max="16384" width="8.7109375" style="71"/>
  </cols>
  <sheetData>
    <row r="1" spans="1:15">
      <c r="A1" s="79" t="s">
        <v>38</v>
      </c>
      <c r="B1" s="79" t="s">
        <v>0</v>
      </c>
      <c r="C1" s="79" t="s">
        <v>39</v>
      </c>
    </row>
    <row r="2" spans="1:15">
      <c r="A2" s="80" t="s">
        <v>40</v>
      </c>
      <c r="B2" s="80">
        <v>2022</v>
      </c>
      <c r="C2" s="80">
        <v>0.11351852443819327</v>
      </c>
    </row>
    <row r="3" spans="1:15">
      <c r="A3" s="80" t="s">
        <v>40</v>
      </c>
      <c r="B3" s="80">
        <v>2023</v>
      </c>
      <c r="C3" s="80">
        <v>0.1335134626025736</v>
      </c>
    </row>
    <row r="4" spans="1:15">
      <c r="A4" s="80" t="s">
        <v>40</v>
      </c>
      <c r="B4" s="80">
        <v>2024</v>
      </c>
      <c r="C4" s="80">
        <v>0.1005712521228964</v>
      </c>
    </row>
    <row r="9" spans="1:15">
      <c r="A9" s="79" t="s">
        <v>38</v>
      </c>
      <c r="B9" s="79" t="s">
        <v>0</v>
      </c>
      <c r="C9" s="79" t="s">
        <v>39</v>
      </c>
      <c r="G9" s="71" t="s">
        <v>2</v>
      </c>
      <c r="H9" s="71" t="s">
        <v>38</v>
      </c>
      <c r="M9" s="71" t="s">
        <v>2</v>
      </c>
      <c r="N9" s="71" t="s">
        <v>38</v>
      </c>
    </row>
    <row r="10" spans="1:15">
      <c r="A10" s="80" t="s">
        <v>41</v>
      </c>
      <c r="B10" s="80">
        <v>2022</v>
      </c>
      <c r="C10" s="81">
        <v>123.11159878508849</v>
      </c>
      <c r="G10" s="71" t="s">
        <v>0</v>
      </c>
      <c r="H10" s="71" t="s">
        <v>40</v>
      </c>
      <c r="I10" s="71" t="s">
        <v>42</v>
      </c>
      <c r="M10" s="71" t="s">
        <v>0</v>
      </c>
      <c r="N10" s="71" t="s">
        <v>41</v>
      </c>
      <c r="O10" s="71" t="s">
        <v>42</v>
      </c>
    </row>
    <row r="11" spans="1:15">
      <c r="A11" s="80" t="s">
        <v>41</v>
      </c>
      <c r="B11" s="80">
        <v>2023</v>
      </c>
      <c r="C11" s="81">
        <v>125.5552807321296</v>
      </c>
      <c r="G11" s="71">
        <v>2022</v>
      </c>
      <c r="H11" s="71">
        <v>0.11351852443819327</v>
      </c>
      <c r="I11" s="71">
        <v>0.11351852443819327</v>
      </c>
      <c r="M11" s="71">
        <v>2022</v>
      </c>
      <c r="N11" s="71">
        <v>123.11159878508849</v>
      </c>
      <c r="O11" s="71">
        <v>123.11159878508849</v>
      </c>
    </row>
    <row r="12" spans="1:15">
      <c r="A12" s="80" t="s">
        <v>41</v>
      </c>
      <c r="B12" s="80">
        <v>2024</v>
      </c>
      <c r="C12" s="81">
        <v>138.88395665645595</v>
      </c>
      <c r="G12" s="71">
        <v>2023</v>
      </c>
      <c r="H12" s="71">
        <v>0.1335134626025736</v>
      </c>
      <c r="I12" s="71">
        <v>0.1335134626025736</v>
      </c>
      <c r="M12" s="71">
        <v>2023</v>
      </c>
      <c r="N12" s="71">
        <v>125.5552807321296</v>
      </c>
      <c r="O12" s="71">
        <v>125.5552807321296</v>
      </c>
    </row>
    <row r="13" spans="1:15">
      <c r="G13" s="71">
        <v>2024</v>
      </c>
      <c r="H13" s="71">
        <v>0.1005712521228964</v>
      </c>
      <c r="I13" s="71">
        <v>0.1005712521228964</v>
      </c>
      <c r="M13" s="71">
        <v>2024</v>
      </c>
      <c r="N13" s="71">
        <v>138.88395665645595</v>
      </c>
      <c r="O13" s="71">
        <v>138.88395665645595</v>
      </c>
    </row>
    <row r="14" spans="1:15">
      <c r="G14" s="71" t="s">
        <v>42</v>
      </c>
      <c r="H14" s="71">
        <v>0.34760323916366326</v>
      </c>
      <c r="I14" s="71">
        <v>0.34760323916366326</v>
      </c>
      <c r="M14" s="71" t="s">
        <v>42</v>
      </c>
      <c r="N14" s="71">
        <v>387.55083617367404</v>
      </c>
      <c r="O14" s="71">
        <v>387.55083617367404</v>
      </c>
    </row>
    <row r="17" spans="1:4">
      <c r="A17" s="82"/>
      <c r="D17" s="71" t="s">
        <v>43</v>
      </c>
    </row>
    <row r="18" spans="1:4">
      <c r="A18" s="82"/>
    </row>
    <row r="19" spans="1:4">
      <c r="A19" s="8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C4CA2-7B21-4E39-8363-79D3C56D809B}">
  <dimension ref="A3:T35"/>
  <sheetViews>
    <sheetView zoomScale="72" workbookViewId="0">
      <selection activeCell="L7" sqref="L7"/>
    </sheetView>
  </sheetViews>
  <sheetFormatPr defaultColWidth="8.7109375" defaultRowHeight="14.45"/>
  <cols>
    <col min="1" max="1" width="18.7109375" style="71" bestFit="1" customWidth="1"/>
    <col min="2" max="5" width="12.7109375" style="71" bestFit="1" customWidth="1"/>
    <col min="6" max="7" width="8.7109375" style="71"/>
    <col min="8" max="8" width="11.7109375" style="71" bestFit="1" customWidth="1"/>
    <col min="9" max="9" width="10.42578125" style="71" bestFit="1" customWidth="1"/>
    <col min="10" max="10" width="15.28515625" style="71" bestFit="1" customWidth="1"/>
    <col min="11" max="11" width="15.42578125" style="71" bestFit="1" customWidth="1"/>
    <col min="12" max="14" width="19.28515625" style="71" bestFit="1" customWidth="1"/>
    <col min="15" max="15" width="12.140625" style="71" bestFit="1" customWidth="1"/>
    <col min="16" max="16384" width="8.7109375" style="71"/>
  </cols>
  <sheetData>
    <row r="3" spans="1:11">
      <c r="A3" s="70" t="s">
        <v>2</v>
      </c>
      <c r="B3" s="71" t="s">
        <v>0</v>
      </c>
      <c r="H3" s="71" t="s">
        <v>2</v>
      </c>
      <c r="I3" s="71" t="s">
        <v>13</v>
      </c>
    </row>
    <row r="4" spans="1:11">
      <c r="A4" s="71" t="s">
        <v>13</v>
      </c>
      <c r="B4" s="71">
        <v>2022</v>
      </c>
      <c r="C4" s="71">
        <v>2023</v>
      </c>
      <c r="D4" s="71">
        <v>2024</v>
      </c>
      <c r="E4" s="71" t="s">
        <v>42</v>
      </c>
      <c r="H4" s="71" t="s">
        <v>0</v>
      </c>
      <c r="I4" s="71" t="s">
        <v>44</v>
      </c>
      <c r="J4" s="71" t="s">
        <v>45</v>
      </c>
      <c r="K4" s="71" t="s">
        <v>42</v>
      </c>
    </row>
    <row r="5" spans="1:11">
      <c r="A5" s="71" t="s">
        <v>46</v>
      </c>
      <c r="B5" s="83">
        <v>0</v>
      </c>
      <c r="C5" s="83">
        <v>0.58799999999999997</v>
      </c>
      <c r="D5" s="83">
        <v>0.80600000000000005</v>
      </c>
      <c r="E5" s="83">
        <v>1.3940000000000001</v>
      </c>
      <c r="H5" s="71">
        <v>2022</v>
      </c>
      <c r="I5" s="84">
        <v>0.20599999999999999</v>
      </c>
      <c r="J5" s="84">
        <v>3.23</v>
      </c>
      <c r="K5" s="71">
        <v>3.4359999999999999</v>
      </c>
    </row>
    <row r="6" spans="1:11">
      <c r="A6" s="71" t="s">
        <v>47</v>
      </c>
      <c r="B6" s="70">
        <v>0</v>
      </c>
      <c r="C6" s="70">
        <v>0.16</v>
      </c>
      <c r="D6" s="70">
        <v>0.1</v>
      </c>
      <c r="E6" s="70">
        <v>0.26</v>
      </c>
      <c r="H6" s="71">
        <v>2023</v>
      </c>
      <c r="I6" s="84">
        <v>0.27200000000000002</v>
      </c>
      <c r="J6" s="84">
        <v>4.55</v>
      </c>
      <c r="K6" s="71">
        <v>4.8220000000000001</v>
      </c>
    </row>
    <row r="7" spans="1:11">
      <c r="A7" s="71" t="s">
        <v>48</v>
      </c>
      <c r="B7" s="72">
        <v>0</v>
      </c>
      <c r="C7" s="72">
        <v>3.5200000000000002E-2</v>
      </c>
      <c r="D7" s="72">
        <v>3.0300000000000001E-2</v>
      </c>
      <c r="E7" s="72">
        <v>6.5500000000000003E-2</v>
      </c>
      <c r="H7" s="71">
        <v>2024</v>
      </c>
      <c r="I7" s="84">
        <v>0.124</v>
      </c>
      <c r="J7" s="84">
        <v>3.3</v>
      </c>
      <c r="K7" s="71">
        <v>3.4239999999999999</v>
      </c>
    </row>
    <row r="8" spans="1:11">
      <c r="A8" s="71" t="s">
        <v>44</v>
      </c>
      <c r="B8" s="70">
        <v>0.20599999999999999</v>
      </c>
      <c r="C8" s="70">
        <v>0.27200000000000002</v>
      </c>
      <c r="D8" s="70">
        <v>0.124</v>
      </c>
      <c r="E8" s="70">
        <v>0.60199999999999998</v>
      </c>
      <c r="H8" s="71" t="s">
        <v>42</v>
      </c>
      <c r="I8" s="84">
        <v>0.60199999999999998</v>
      </c>
      <c r="J8" s="84">
        <v>11.079999999999998</v>
      </c>
      <c r="K8" s="71">
        <v>11.682</v>
      </c>
    </row>
    <row r="9" spans="1:11">
      <c r="A9" s="71" t="s">
        <v>49</v>
      </c>
      <c r="B9" s="73">
        <v>15.679611650485436</v>
      </c>
      <c r="C9" s="73">
        <v>16.7</v>
      </c>
      <c r="D9" s="73">
        <v>26.6</v>
      </c>
      <c r="E9" s="73">
        <v>58.979611650485438</v>
      </c>
    </row>
    <row r="10" spans="1:11">
      <c r="A10" s="71" t="s">
        <v>45</v>
      </c>
      <c r="B10" s="70">
        <v>3.23</v>
      </c>
      <c r="C10" s="70">
        <v>4.55</v>
      </c>
      <c r="D10" s="70">
        <v>3.3</v>
      </c>
      <c r="E10" s="70">
        <v>11.079999999999998</v>
      </c>
    </row>
    <row r="11" spans="1:11">
      <c r="A11" s="71" t="s">
        <v>42</v>
      </c>
      <c r="B11" s="71">
        <v>19.115611650485434</v>
      </c>
      <c r="C11" s="71">
        <v>22.305199999999999</v>
      </c>
      <c r="D11" s="71">
        <v>30.9603</v>
      </c>
      <c r="E11" s="71">
        <v>72.381111650485437</v>
      </c>
    </row>
    <row r="13" spans="1:11">
      <c r="E13" s="72"/>
    </row>
    <row r="35" spans="20:20">
      <c r="T35" s="71" t="s">
        <v>50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49E2-2BB9-4141-84DC-0D64B95CD09F}">
  <dimension ref="A1:H19"/>
  <sheetViews>
    <sheetView zoomScale="83" workbookViewId="0">
      <selection activeCell="K6" sqref="K6"/>
    </sheetView>
  </sheetViews>
  <sheetFormatPr defaultColWidth="8.7109375" defaultRowHeight="14.45"/>
  <cols>
    <col min="1" max="1" width="8.7109375" bestFit="1" customWidth="1"/>
    <col min="2" max="2" width="19.28515625" customWidth="1"/>
    <col min="7" max="7" width="15.7109375" customWidth="1"/>
  </cols>
  <sheetData>
    <row r="1" spans="1:8">
      <c r="A1" s="67" t="s">
        <v>0</v>
      </c>
      <c r="B1" s="67" t="s">
        <v>13</v>
      </c>
      <c r="C1" s="67" t="s">
        <v>39</v>
      </c>
      <c r="F1" s="67" t="s">
        <v>0</v>
      </c>
      <c r="G1" s="67" t="s">
        <v>13</v>
      </c>
      <c r="H1" s="67" t="s">
        <v>39</v>
      </c>
    </row>
    <row r="2" spans="1:8">
      <c r="A2" s="68">
        <v>2022</v>
      </c>
      <c r="B2" s="68" t="s">
        <v>45</v>
      </c>
      <c r="C2" s="68">
        <f>Ratios!F24</f>
        <v>3.23</v>
      </c>
      <c r="F2" s="68">
        <v>2022</v>
      </c>
      <c r="G2" s="68" t="s">
        <v>45</v>
      </c>
      <c r="H2" s="68">
        <f>Ratios!F24</f>
        <v>3.23</v>
      </c>
    </row>
    <row r="3" spans="1:8">
      <c r="A3" s="68">
        <v>2022</v>
      </c>
      <c r="B3" s="68" t="s">
        <v>44</v>
      </c>
      <c r="C3" s="68">
        <v>0.20599999999999999</v>
      </c>
      <c r="F3" s="68">
        <v>2022</v>
      </c>
      <c r="G3" s="68" t="s">
        <v>44</v>
      </c>
      <c r="H3" s="68">
        <v>0.20599999999999999</v>
      </c>
    </row>
    <row r="4" spans="1:8" ht="28.9">
      <c r="A4" s="68">
        <v>2022</v>
      </c>
      <c r="B4" s="68" t="s">
        <v>47</v>
      </c>
      <c r="C4" s="68">
        <f>Ratios!F25</f>
        <v>0</v>
      </c>
      <c r="F4" s="68">
        <v>2022</v>
      </c>
      <c r="G4" s="68" t="s">
        <v>47</v>
      </c>
      <c r="H4" s="68">
        <f>Ratios!F25</f>
        <v>0</v>
      </c>
    </row>
    <row r="5" spans="1:8" ht="28.9">
      <c r="A5" s="68">
        <v>2022</v>
      </c>
      <c r="B5" s="68" t="s">
        <v>46</v>
      </c>
      <c r="C5" s="68">
        <f>Ratios!F27</f>
        <v>0</v>
      </c>
      <c r="F5" s="68">
        <v>2022</v>
      </c>
      <c r="G5" s="68" t="s">
        <v>46</v>
      </c>
      <c r="H5" s="68">
        <f>Ratios!F27</f>
        <v>0</v>
      </c>
    </row>
    <row r="6" spans="1:8">
      <c r="A6" s="68">
        <v>2022</v>
      </c>
      <c r="B6" s="68" t="s">
        <v>49</v>
      </c>
      <c r="C6" s="69">
        <f>Ratios!F28</f>
        <v>15.679611650485436</v>
      </c>
      <c r="F6" s="68">
        <v>2022</v>
      </c>
      <c r="G6" s="68" t="s">
        <v>49</v>
      </c>
      <c r="H6" s="69">
        <f>Ratios!F28</f>
        <v>15.679611650485436</v>
      </c>
    </row>
    <row r="7" spans="1:8">
      <c r="A7" s="68">
        <v>2022</v>
      </c>
      <c r="B7" s="68" t="s">
        <v>48</v>
      </c>
      <c r="C7" s="68">
        <f>Ratios!F29</f>
        <v>0</v>
      </c>
      <c r="F7" s="68">
        <v>2022</v>
      </c>
      <c r="G7" s="68" t="s">
        <v>48</v>
      </c>
      <c r="H7" s="68">
        <f>Ratios!F29</f>
        <v>0</v>
      </c>
    </row>
    <row r="8" spans="1:8">
      <c r="A8" s="68">
        <v>2023</v>
      </c>
      <c r="B8" s="68" t="s">
        <v>45</v>
      </c>
      <c r="C8" s="68">
        <v>4.55</v>
      </c>
      <c r="F8" s="68">
        <v>2023</v>
      </c>
      <c r="G8" s="68" t="s">
        <v>45</v>
      </c>
      <c r="H8" s="68">
        <v>4.55</v>
      </c>
    </row>
    <row r="9" spans="1:8">
      <c r="A9" s="68">
        <v>2023</v>
      </c>
      <c r="B9" s="68" t="s">
        <v>44</v>
      </c>
      <c r="C9" s="68">
        <v>0.27200000000000002</v>
      </c>
      <c r="F9" s="68">
        <v>2023</v>
      </c>
      <c r="G9" s="68" t="s">
        <v>44</v>
      </c>
      <c r="H9" s="68">
        <v>0.27200000000000002</v>
      </c>
    </row>
    <row r="10" spans="1:8" ht="28.9">
      <c r="A10" s="68">
        <v>2023</v>
      </c>
      <c r="B10" s="68" t="s">
        <v>47</v>
      </c>
      <c r="C10" s="68">
        <v>0.16</v>
      </c>
      <c r="F10" s="68">
        <v>2023</v>
      </c>
      <c r="G10" s="68" t="s">
        <v>47</v>
      </c>
      <c r="H10" s="68">
        <v>0.16</v>
      </c>
    </row>
    <row r="11" spans="1:8" ht="28.9">
      <c r="A11" s="68">
        <v>2023</v>
      </c>
      <c r="B11" s="68" t="s">
        <v>46</v>
      </c>
      <c r="C11" s="68">
        <v>0.58799999999999997</v>
      </c>
      <c r="F11" s="68">
        <v>2023</v>
      </c>
      <c r="G11" s="68" t="s">
        <v>46</v>
      </c>
      <c r="H11" s="68">
        <v>0.58799999999999997</v>
      </c>
    </row>
    <row r="12" spans="1:8">
      <c r="A12" s="68">
        <v>2023</v>
      </c>
      <c r="B12" s="68" t="s">
        <v>49</v>
      </c>
      <c r="C12" s="68">
        <v>16.7</v>
      </c>
      <c r="F12" s="68">
        <v>2023</v>
      </c>
      <c r="G12" s="68" t="s">
        <v>49</v>
      </c>
      <c r="H12" s="68">
        <v>16.7</v>
      </c>
    </row>
    <row r="13" spans="1:8">
      <c r="A13" s="68">
        <v>2023</v>
      </c>
      <c r="B13" s="68" t="s">
        <v>48</v>
      </c>
      <c r="C13" s="68">
        <v>3.5200000000000002E-2</v>
      </c>
      <c r="F13" s="68">
        <v>2023</v>
      </c>
      <c r="G13" s="68" t="s">
        <v>48</v>
      </c>
      <c r="H13" s="68">
        <v>3.5200000000000002E-2</v>
      </c>
    </row>
    <row r="14" spans="1:8">
      <c r="A14" s="68">
        <v>2024</v>
      </c>
      <c r="B14" s="68" t="s">
        <v>45</v>
      </c>
      <c r="C14" s="68">
        <v>3.3</v>
      </c>
      <c r="F14" s="68">
        <v>2024</v>
      </c>
      <c r="G14" s="68" t="s">
        <v>45</v>
      </c>
      <c r="H14" s="68">
        <v>3.3</v>
      </c>
    </row>
    <row r="15" spans="1:8">
      <c r="A15" s="68">
        <v>2024</v>
      </c>
      <c r="B15" s="68" t="s">
        <v>44</v>
      </c>
      <c r="C15" s="68">
        <v>0.124</v>
      </c>
      <c r="F15" s="68">
        <v>2024</v>
      </c>
      <c r="G15" s="68" t="s">
        <v>44</v>
      </c>
      <c r="H15" s="68">
        <v>0.124</v>
      </c>
    </row>
    <row r="16" spans="1:8" ht="28.9">
      <c r="A16" s="68">
        <v>2024</v>
      </c>
      <c r="B16" s="68" t="s">
        <v>47</v>
      </c>
      <c r="C16" s="68">
        <v>0.1</v>
      </c>
      <c r="F16" s="68">
        <v>2024</v>
      </c>
      <c r="G16" s="68" t="s">
        <v>47</v>
      </c>
      <c r="H16" s="68">
        <v>0.1</v>
      </c>
    </row>
    <row r="17" spans="1:8" ht="28.9">
      <c r="A17" s="68">
        <v>2024</v>
      </c>
      <c r="B17" s="68" t="s">
        <v>46</v>
      </c>
      <c r="C17" s="68">
        <v>0.80600000000000005</v>
      </c>
      <c r="F17" s="68">
        <v>2024</v>
      </c>
      <c r="G17" s="68" t="s">
        <v>46</v>
      </c>
      <c r="H17" s="68">
        <v>0.80600000000000005</v>
      </c>
    </row>
    <row r="18" spans="1:8">
      <c r="A18" s="68">
        <v>2024</v>
      </c>
      <c r="B18" s="68" t="s">
        <v>49</v>
      </c>
      <c r="C18" s="68">
        <v>26.6</v>
      </c>
      <c r="F18" s="68">
        <v>2024</v>
      </c>
      <c r="G18" s="68" t="s">
        <v>49</v>
      </c>
      <c r="H18" s="68">
        <v>26.6</v>
      </c>
    </row>
    <row r="19" spans="1:8">
      <c r="A19" s="68">
        <v>2024</v>
      </c>
      <c r="B19" s="68" t="s">
        <v>48</v>
      </c>
      <c r="C19" s="68">
        <v>3.0300000000000001E-2</v>
      </c>
      <c r="F19" s="68">
        <v>2024</v>
      </c>
      <c r="G19" s="68" t="s">
        <v>48</v>
      </c>
      <c r="H19" s="68">
        <v>3.0300000000000001E-2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02D7-50B2-4722-AE22-2B8340D9F31A}">
  <dimension ref="A1:H70"/>
  <sheetViews>
    <sheetView zoomScale="84" workbookViewId="0">
      <selection activeCell="K14" sqref="K14"/>
    </sheetView>
  </sheetViews>
  <sheetFormatPr defaultColWidth="8.7109375" defaultRowHeight="14.45"/>
  <cols>
    <col min="1" max="1" width="56.42578125" bestFit="1" customWidth="1"/>
    <col min="2" max="2" width="15" customWidth="1"/>
    <col min="4" max="4" width="14.42578125" bestFit="1" customWidth="1"/>
    <col min="5" max="5" width="9.7109375" customWidth="1"/>
    <col min="6" max="6" width="15.140625" bestFit="1" customWidth="1"/>
    <col min="7" max="7" width="11.28515625" bestFit="1" customWidth="1"/>
    <col min="8" max="8" width="10.42578125" bestFit="1" customWidth="1"/>
    <col min="9" max="9" width="16.7109375" bestFit="1" customWidth="1"/>
    <col min="13" max="13" width="14.28515625" bestFit="1" customWidth="1"/>
    <col min="14" max="14" width="17.7109375" bestFit="1" customWidth="1"/>
    <col min="16" max="16" width="16.7109375" bestFit="1" customWidth="1"/>
    <col min="17" max="17" width="10.28515625" bestFit="1" customWidth="1"/>
  </cols>
  <sheetData>
    <row r="1" spans="1:8">
      <c r="A1" s="3" t="s">
        <v>0</v>
      </c>
      <c r="B1" s="5">
        <v>2022</v>
      </c>
      <c r="D1" s="5">
        <v>2023</v>
      </c>
      <c r="F1" s="6">
        <v>2024</v>
      </c>
      <c r="H1">
        <v>2021</v>
      </c>
    </row>
    <row r="2" spans="1:8">
      <c r="A2" s="2"/>
      <c r="B2" s="8" t="s">
        <v>43</v>
      </c>
      <c r="C2" s="15"/>
      <c r="D2" s="11"/>
      <c r="E2" s="15"/>
      <c r="F2" s="11"/>
    </row>
    <row r="3" spans="1:8">
      <c r="A3" s="1" t="s">
        <v>51</v>
      </c>
      <c r="B3" s="11"/>
      <c r="C3" s="10"/>
      <c r="D3" s="11"/>
      <c r="E3" s="10"/>
      <c r="F3" s="11"/>
    </row>
    <row r="4" spans="1:8">
      <c r="A4" s="12" t="s">
        <v>52</v>
      </c>
      <c r="B4" s="10">
        <v>788241</v>
      </c>
      <c r="C4" s="10"/>
      <c r="D4" s="10">
        <v>819340</v>
      </c>
      <c r="E4" s="10"/>
      <c r="F4" s="10">
        <v>852736</v>
      </c>
      <c r="H4" s="49">
        <v>778688</v>
      </c>
    </row>
    <row r="5" spans="1:8">
      <c r="A5" s="12" t="s">
        <v>53</v>
      </c>
      <c r="B5" s="10">
        <v>128</v>
      </c>
      <c r="C5" s="10"/>
      <c r="D5" s="10">
        <v>6062</v>
      </c>
      <c r="E5" s="10"/>
      <c r="F5" s="10">
        <v>2507</v>
      </c>
      <c r="H5">
        <v>63</v>
      </c>
    </row>
    <row r="6" spans="1:8">
      <c r="A6" s="13"/>
      <c r="B6" s="16">
        <f>SUM(B4:B5)</f>
        <v>788369</v>
      </c>
      <c r="C6" s="15"/>
      <c r="D6" s="15">
        <f>SUM(D4:D5)</f>
        <v>825402</v>
      </c>
      <c r="E6" s="15"/>
      <c r="F6" s="15">
        <f>SUM(F4:F5)</f>
        <v>855243</v>
      </c>
      <c r="H6" s="49">
        <f>H4+H5</f>
        <v>778751</v>
      </c>
    </row>
    <row r="7" spans="1:8">
      <c r="A7" s="1"/>
      <c r="B7" s="8"/>
      <c r="C7" s="11"/>
      <c r="D7" s="11"/>
      <c r="E7" s="11"/>
      <c r="F7" s="11"/>
    </row>
    <row r="8" spans="1:8">
      <c r="A8" s="1" t="s">
        <v>54</v>
      </c>
    </row>
    <row r="9" spans="1:8">
      <c r="A9" s="12" t="s">
        <v>55</v>
      </c>
      <c r="B9" s="8">
        <v>467789</v>
      </c>
      <c r="C9" s="11"/>
      <c r="D9" s="11">
        <v>494167</v>
      </c>
      <c r="E9" s="11"/>
      <c r="F9" s="11">
        <v>511665</v>
      </c>
      <c r="H9">
        <v>464212</v>
      </c>
    </row>
    <row r="10" spans="1:8">
      <c r="A10" s="12" t="s">
        <v>56</v>
      </c>
      <c r="B10" s="11">
        <v>260828</v>
      </c>
      <c r="C10" s="10"/>
      <c r="D10" s="11">
        <v>261204</v>
      </c>
      <c r="E10" s="10"/>
      <c r="F10" s="11">
        <v>280853</v>
      </c>
      <c r="H10">
        <v>259388</v>
      </c>
    </row>
    <row r="11" spans="1:8">
      <c r="A11" s="12" t="s">
        <v>57</v>
      </c>
      <c r="B11" s="11">
        <v>41996</v>
      </c>
      <c r="C11" s="10"/>
      <c r="D11" s="11">
        <v>47350</v>
      </c>
      <c r="E11" s="10"/>
      <c r="F11" s="11">
        <v>46440</v>
      </c>
      <c r="H11">
        <v>36536</v>
      </c>
    </row>
    <row r="12" spans="1:8">
      <c r="A12" s="17"/>
      <c r="B12" s="15">
        <f>SUM(B9:B11)</f>
        <v>770613</v>
      </c>
      <c r="C12" s="15"/>
      <c r="D12" s="15">
        <f>SUM(D9:D11)</f>
        <v>802721</v>
      </c>
      <c r="E12" s="15"/>
      <c r="F12" s="15">
        <f t="shared" ref="F12" si="0">SUM(F9:F11)</f>
        <v>838958</v>
      </c>
      <c r="H12">
        <f>SUM(H9:H11)</f>
        <v>760136</v>
      </c>
    </row>
    <row r="13" spans="1:8">
      <c r="A13" s="1" t="s">
        <v>58</v>
      </c>
      <c r="B13" s="7">
        <f>B6-B12</f>
        <v>17756</v>
      </c>
      <c r="C13" s="7"/>
      <c r="D13" s="7">
        <f>D6-D12</f>
        <v>22681</v>
      </c>
      <c r="E13" s="7"/>
      <c r="F13" s="7">
        <f>F6-F12</f>
        <v>16285</v>
      </c>
      <c r="H13" s="49">
        <f>H6-H12</f>
        <v>18615</v>
      </c>
    </row>
    <row r="15" spans="1:8">
      <c r="A15" s="9" t="s">
        <v>59</v>
      </c>
      <c r="B15" s="18">
        <v>6502</v>
      </c>
      <c r="D15" s="18">
        <v>8050</v>
      </c>
      <c r="F15" s="10">
        <v>8937</v>
      </c>
      <c r="H15">
        <v>6477</v>
      </c>
    </row>
    <row r="16" spans="1:8">
      <c r="A16" s="19" t="s">
        <v>60</v>
      </c>
      <c r="B16" s="14">
        <f>B13-B15</f>
        <v>11254</v>
      </c>
      <c r="C16" s="14"/>
      <c r="D16" s="14">
        <f t="shared" ref="D16" si="1">D13-D15</f>
        <v>14631</v>
      </c>
      <c r="E16" s="14"/>
      <c r="F16" s="14">
        <f>F13-F15</f>
        <v>7348</v>
      </c>
      <c r="H16" s="49">
        <f>H13-H15</f>
        <v>12138</v>
      </c>
    </row>
    <row r="17" spans="1:8">
      <c r="A17" s="12" t="s">
        <v>61</v>
      </c>
      <c r="B17" s="7">
        <v>3352</v>
      </c>
      <c r="C17" s="10"/>
      <c r="D17" s="7">
        <v>4321</v>
      </c>
      <c r="E17" s="10"/>
      <c r="F17" s="8">
        <v>2635</v>
      </c>
      <c r="H17">
        <v>3819</v>
      </c>
    </row>
    <row r="18" spans="1:8">
      <c r="A18" s="19" t="s">
        <v>62</v>
      </c>
      <c r="B18" s="14">
        <f>B16-B17</f>
        <v>7902</v>
      </c>
      <c r="C18" s="14"/>
      <c r="D18" s="14">
        <f t="shared" ref="D18" si="2">D16-D17</f>
        <v>10310</v>
      </c>
      <c r="E18" s="14"/>
      <c r="F18" s="14">
        <f>F16-F17</f>
        <v>4713</v>
      </c>
      <c r="H18" s="49">
        <f>H16-H17</f>
        <v>8319</v>
      </c>
    </row>
    <row r="20" spans="1:8">
      <c r="A20" s="20" t="s">
        <v>63</v>
      </c>
      <c r="B20" s="10"/>
      <c r="C20" s="10"/>
      <c r="D20" s="10"/>
      <c r="E20" s="10"/>
      <c r="F20" s="10"/>
    </row>
    <row r="21" spans="1:8">
      <c r="A21" s="33" t="s">
        <v>64</v>
      </c>
      <c r="B21" s="34"/>
      <c r="C21" s="34"/>
      <c r="D21" s="34"/>
      <c r="E21" s="34"/>
      <c r="F21" s="34"/>
    </row>
    <row r="22" spans="1:8">
      <c r="A22" t="s">
        <v>65</v>
      </c>
      <c r="B22" s="34">
        <v>16569</v>
      </c>
      <c r="C22" s="34"/>
      <c r="D22" s="34">
        <v>-6902</v>
      </c>
      <c r="E22" s="34"/>
      <c r="F22" s="34">
        <v>-4563</v>
      </c>
      <c r="H22">
        <v>5579</v>
      </c>
    </row>
    <row r="23" spans="1:8">
      <c r="A23" s="4" t="s">
        <v>66</v>
      </c>
      <c r="B23" s="35">
        <v>-4971</v>
      </c>
      <c r="C23" s="35"/>
      <c r="D23" s="35">
        <v>2071</v>
      </c>
      <c r="E23" s="35"/>
      <c r="F23" s="35">
        <v>1369</v>
      </c>
      <c r="H23" s="50">
        <v>-1674</v>
      </c>
    </row>
    <row r="24" spans="1:8">
      <c r="A24" s="31" t="s">
        <v>67</v>
      </c>
      <c r="B24" s="36">
        <f>SUM(B22:B23)</f>
        <v>11598</v>
      </c>
      <c r="C24" s="36"/>
      <c r="D24" s="36">
        <f t="shared" ref="D24" si="3">SUM(D22:D23)</f>
        <v>-4831</v>
      </c>
      <c r="E24" s="36"/>
      <c r="F24" s="36">
        <f>SUM(F22:F23)</f>
        <v>-3194</v>
      </c>
      <c r="H24">
        <f>SUM(H22:H23)</f>
        <v>3905</v>
      </c>
    </row>
    <row r="25" spans="1:8">
      <c r="A25" s="20" t="s">
        <v>68</v>
      </c>
      <c r="B25" s="34">
        <f>SUM(B18,B24)</f>
        <v>19500</v>
      </c>
      <c r="C25" s="34"/>
      <c r="D25" s="34">
        <f t="shared" ref="D25" si="4">SUM(D18,D24)</f>
        <v>5479</v>
      </c>
      <c r="E25" s="34"/>
      <c r="F25" s="34">
        <f>SUM(F18,F24)</f>
        <v>1519</v>
      </c>
      <c r="H25" s="49">
        <f>H18+H24</f>
        <v>12224</v>
      </c>
    </row>
    <row r="26" spans="1:8">
      <c r="B26" s="34"/>
      <c r="C26" s="34"/>
      <c r="D26" s="34"/>
      <c r="E26" s="34"/>
      <c r="F26" s="34"/>
    </row>
    <row r="27" spans="1:8">
      <c r="A27" s="37" t="s">
        <v>69</v>
      </c>
      <c r="B27" s="38"/>
      <c r="C27" s="38"/>
      <c r="D27" s="38"/>
      <c r="E27" s="38"/>
      <c r="F27" s="38"/>
    </row>
    <row r="28" spans="1:8">
      <c r="A28" t="s">
        <v>70</v>
      </c>
      <c r="B28" s="39">
        <v>20.6</v>
      </c>
      <c r="C28" s="39"/>
      <c r="D28" s="39">
        <v>27.2</v>
      </c>
      <c r="E28" s="39"/>
      <c r="F28" s="39">
        <v>12.4</v>
      </c>
      <c r="H28">
        <v>21.7</v>
      </c>
    </row>
    <row r="29" spans="1:8">
      <c r="A29" t="s">
        <v>71</v>
      </c>
      <c r="B29" s="40">
        <v>20.2</v>
      </c>
      <c r="C29" s="40"/>
      <c r="D29" s="40">
        <v>26.4</v>
      </c>
      <c r="E29" s="40"/>
      <c r="F29" s="40">
        <v>12.1</v>
      </c>
      <c r="H29">
        <v>21.4</v>
      </c>
    </row>
    <row r="35" spans="1:6">
      <c r="B35" s="10"/>
      <c r="C35" s="10"/>
      <c r="D35" s="10"/>
      <c r="E35" s="10"/>
      <c r="F35" s="10"/>
    </row>
    <row r="36" spans="1:6">
      <c r="B36" s="10"/>
      <c r="C36" s="10"/>
      <c r="D36" s="10"/>
      <c r="E36" s="10"/>
      <c r="F36" s="10"/>
    </row>
    <row r="37" spans="1:6">
      <c r="A37" s="1" t="s">
        <v>72</v>
      </c>
      <c r="B37" s="7"/>
      <c r="C37" s="10"/>
      <c r="D37" s="7"/>
      <c r="E37" s="10"/>
      <c r="F37" s="8"/>
    </row>
    <row r="38" spans="1:6">
      <c r="A38" s="1" t="s">
        <v>73</v>
      </c>
      <c r="B38" s="7"/>
      <c r="C38" s="10"/>
      <c r="D38" s="7"/>
      <c r="E38" s="10"/>
      <c r="F38" s="8"/>
    </row>
    <row r="39" spans="1:6">
      <c r="A39" s="1" t="s">
        <v>74</v>
      </c>
      <c r="B39" s="7"/>
      <c r="C39" s="10"/>
      <c r="D39" s="7"/>
      <c r="E39" s="10"/>
      <c r="F39" s="8"/>
    </row>
    <row r="40" spans="1:6">
      <c r="A40" s="1" t="s">
        <v>75</v>
      </c>
      <c r="B40" s="7"/>
      <c r="C40" s="10"/>
      <c r="D40" s="7"/>
      <c r="E40" s="10"/>
      <c r="F40" s="8"/>
    </row>
    <row r="41" spans="1:6">
      <c r="A41" s="1" t="s">
        <v>45</v>
      </c>
      <c r="B41" s="7"/>
      <c r="C41" s="10"/>
      <c r="D41" s="7"/>
      <c r="E41" s="10"/>
      <c r="F41" s="8"/>
    </row>
    <row r="43" spans="1:6">
      <c r="B43" s="10"/>
      <c r="C43" s="10"/>
      <c r="D43" s="10"/>
      <c r="E43" s="10"/>
      <c r="F43" s="10"/>
    </row>
    <row r="44" spans="1:6">
      <c r="B44" s="10"/>
      <c r="C44" s="10"/>
      <c r="D44" s="10"/>
      <c r="E44" s="10"/>
      <c r="F44" s="10"/>
    </row>
    <row r="45" spans="1:6">
      <c r="B45" s="10"/>
      <c r="C45" s="10"/>
      <c r="D45" s="10"/>
      <c r="E45" s="10"/>
      <c r="F45" s="10"/>
    </row>
    <row r="46" spans="1:6">
      <c r="B46" s="10"/>
      <c r="C46" s="10"/>
      <c r="D46" s="10"/>
      <c r="E46" s="10"/>
      <c r="F46" s="10"/>
    </row>
    <row r="47" spans="1:6">
      <c r="B47" s="10"/>
      <c r="C47" s="10"/>
      <c r="D47" s="10"/>
      <c r="E47" s="10"/>
      <c r="F47" s="10"/>
    </row>
    <row r="48" spans="1:6">
      <c r="B48" s="10"/>
      <c r="C48" s="10"/>
      <c r="D48" s="10"/>
      <c r="E48" s="10"/>
      <c r="F48" s="10"/>
    </row>
    <row r="49" spans="2:6">
      <c r="B49" s="10"/>
      <c r="C49" s="10"/>
      <c r="D49" s="10"/>
      <c r="E49" s="10"/>
      <c r="F49" s="10"/>
    </row>
    <row r="50" spans="2:6">
      <c r="B50" s="10"/>
      <c r="C50" s="10"/>
      <c r="D50" s="10"/>
      <c r="E50" s="10"/>
      <c r="F50" s="10"/>
    </row>
    <row r="51" spans="2:6">
      <c r="B51" s="10"/>
      <c r="C51" s="10"/>
      <c r="D51" s="10"/>
      <c r="E51" s="10"/>
      <c r="F51" s="10"/>
    </row>
    <row r="52" spans="2:6">
      <c r="B52" s="10"/>
      <c r="C52" s="10"/>
      <c r="D52" s="10"/>
      <c r="E52" s="10"/>
      <c r="F52" s="10"/>
    </row>
    <row r="53" spans="2:6">
      <c r="B53" s="10"/>
      <c r="C53" s="10"/>
      <c r="D53" s="10"/>
      <c r="E53" s="10"/>
      <c r="F53" s="10"/>
    </row>
    <row r="54" spans="2:6">
      <c r="B54" s="10"/>
      <c r="C54" s="10"/>
      <c r="D54" s="10"/>
      <c r="E54" s="10"/>
      <c r="F54" s="10"/>
    </row>
    <row r="55" spans="2:6">
      <c r="B55" s="10"/>
      <c r="C55" s="10"/>
      <c r="D55" s="10"/>
      <c r="E55" s="10"/>
      <c r="F55" s="10"/>
    </row>
    <row r="56" spans="2:6">
      <c r="B56" s="10"/>
      <c r="C56" s="10"/>
      <c r="D56" s="10"/>
      <c r="E56" s="10"/>
      <c r="F56" s="10"/>
    </row>
    <row r="57" spans="2:6">
      <c r="B57" s="10"/>
      <c r="C57" s="10"/>
      <c r="D57" s="10"/>
      <c r="E57" s="10"/>
      <c r="F57" s="10"/>
    </row>
    <row r="58" spans="2:6">
      <c r="B58" s="10"/>
      <c r="C58" s="10"/>
      <c r="D58" s="10"/>
      <c r="E58" s="10"/>
      <c r="F58" s="10"/>
    </row>
    <row r="59" spans="2:6">
      <c r="B59" s="10"/>
      <c r="C59" s="10"/>
      <c r="D59" s="10"/>
      <c r="E59" s="10"/>
      <c r="F59" s="10"/>
    </row>
    <row r="60" spans="2:6">
      <c r="B60" s="10"/>
      <c r="C60" s="10"/>
      <c r="D60" s="10"/>
      <c r="E60" s="10"/>
      <c r="F60" s="10"/>
    </row>
    <row r="61" spans="2:6">
      <c r="B61" s="10"/>
      <c r="C61" s="10"/>
      <c r="D61" s="10"/>
      <c r="E61" s="10"/>
      <c r="F61" s="10"/>
    </row>
    <row r="62" spans="2:6">
      <c r="B62" s="10"/>
      <c r="C62" s="10"/>
      <c r="D62" s="10"/>
      <c r="E62" s="10"/>
      <c r="F62" s="10"/>
    </row>
    <row r="63" spans="2:6">
      <c r="B63" s="10"/>
      <c r="C63" s="10"/>
      <c r="D63" s="10"/>
      <c r="E63" s="10"/>
      <c r="F63" s="10"/>
    </row>
    <row r="64" spans="2:6">
      <c r="B64" s="10"/>
      <c r="C64" s="10"/>
      <c r="D64" s="10"/>
      <c r="E64" s="10"/>
      <c r="F64" s="10"/>
    </row>
    <row r="65" spans="2:6">
      <c r="B65" s="10"/>
      <c r="C65" s="10"/>
      <c r="D65" s="10"/>
      <c r="E65" s="10"/>
      <c r="F65" s="10"/>
    </row>
    <row r="66" spans="2:6">
      <c r="B66" s="10"/>
      <c r="C66" s="10"/>
      <c r="D66" s="10"/>
      <c r="E66" s="10"/>
      <c r="F66" s="10"/>
    </row>
    <row r="67" spans="2:6">
      <c r="B67" s="10"/>
      <c r="C67" s="10"/>
      <c r="D67" s="10"/>
      <c r="E67" s="10"/>
      <c r="F67" s="10"/>
    </row>
    <row r="68" spans="2:6">
      <c r="B68" s="10"/>
      <c r="C68" s="10"/>
      <c r="D68" s="10"/>
      <c r="E68" s="10"/>
      <c r="F68" s="10"/>
    </row>
    <row r="69" spans="2:6">
      <c r="B69" s="10"/>
      <c r="C69" s="10"/>
      <c r="D69" s="10"/>
      <c r="E69" s="10"/>
      <c r="F69" s="10"/>
    </row>
    <row r="70" spans="2:6">
      <c r="B70" s="10"/>
      <c r="C70" s="10"/>
      <c r="D70" s="10"/>
      <c r="E70" s="10"/>
      <c r="F70"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6F70-EFD9-4689-9B77-B567AFC6EDF0}">
  <dimension ref="A1:H83"/>
  <sheetViews>
    <sheetView zoomScale="73" workbookViewId="0">
      <selection activeCell="F50" sqref="F50"/>
    </sheetView>
  </sheetViews>
  <sheetFormatPr defaultColWidth="8.7109375" defaultRowHeight="14.45"/>
  <cols>
    <col min="1" max="1" width="31" bestFit="1" customWidth="1"/>
    <col min="2" max="2" width="15" customWidth="1"/>
    <col min="4" max="4" width="14.42578125" bestFit="1" customWidth="1"/>
    <col min="5" max="5" width="9.7109375" customWidth="1"/>
    <col min="6" max="6" width="15.140625" bestFit="1" customWidth="1"/>
    <col min="7" max="7" width="11.28515625" bestFit="1" customWidth="1"/>
    <col min="8" max="8" width="10.42578125" bestFit="1" customWidth="1"/>
    <col min="9" max="9" width="16.7109375" bestFit="1" customWidth="1"/>
    <col min="13" max="13" width="14.28515625" bestFit="1" customWidth="1"/>
    <col min="14" max="14" width="17.7109375" bestFit="1" customWidth="1"/>
    <col min="16" max="16" width="16.7109375" bestFit="1" customWidth="1"/>
    <col min="17" max="17" width="10.28515625" bestFit="1" customWidth="1"/>
  </cols>
  <sheetData>
    <row r="1" spans="1:8">
      <c r="A1" s="3" t="s">
        <v>0</v>
      </c>
      <c r="B1" s="5">
        <v>2022</v>
      </c>
      <c r="D1" s="5">
        <v>2023</v>
      </c>
      <c r="F1" s="6">
        <v>2024</v>
      </c>
      <c r="G1" s="4"/>
      <c r="H1" s="4">
        <v>2021</v>
      </c>
    </row>
    <row r="2" spans="1:8">
      <c r="A2" s="2"/>
      <c r="B2" s="8" t="s">
        <v>43</v>
      </c>
      <c r="C2" s="15"/>
      <c r="D2" s="11"/>
      <c r="E2" s="15"/>
      <c r="F2" s="11"/>
    </row>
    <row r="3" spans="1:8">
      <c r="A3" s="20" t="s">
        <v>76</v>
      </c>
    </row>
    <row r="4" spans="1:8">
      <c r="A4" s="12" t="s">
        <v>77</v>
      </c>
      <c r="B4" s="7">
        <v>77469</v>
      </c>
      <c r="C4" s="10"/>
      <c r="D4" s="7">
        <v>77335</v>
      </c>
      <c r="E4" s="10"/>
      <c r="F4" s="8">
        <v>49883</v>
      </c>
      <c r="H4">
        <v>73046</v>
      </c>
    </row>
    <row r="5" spans="1:8">
      <c r="A5" s="12" t="s">
        <v>78</v>
      </c>
      <c r="B5" s="7">
        <v>113014</v>
      </c>
      <c r="C5" s="10"/>
      <c r="D5" s="7">
        <v>135550</v>
      </c>
      <c r="E5" s="10"/>
      <c r="F5" s="8">
        <v>146446</v>
      </c>
      <c r="H5">
        <v>99834</v>
      </c>
    </row>
    <row r="6" spans="1:8">
      <c r="A6" s="12" t="s">
        <v>79</v>
      </c>
      <c r="B6" s="7">
        <v>1893</v>
      </c>
      <c r="C6" s="10"/>
      <c r="D6" s="7"/>
      <c r="E6" s="10"/>
      <c r="F6" s="8">
        <v>2770</v>
      </c>
      <c r="H6">
        <v>1315</v>
      </c>
    </row>
    <row r="7" spans="1:8">
      <c r="A7" s="12" t="s">
        <v>80</v>
      </c>
      <c r="B7" s="7">
        <v>12766</v>
      </c>
      <c r="C7" s="10"/>
      <c r="D7" s="7">
        <v>5864</v>
      </c>
      <c r="E7" s="10"/>
      <c r="F7" s="8">
        <v>1302</v>
      </c>
    </row>
    <row r="8" spans="1:8">
      <c r="A8" s="12" t="s">
        <v>81</v>
      </c>
      <c r="B8" s="7">
        <v>4481</v>
      </c>
      <c r="C8" s="10"/>
      <c r="D8" s="7">
        <v>4056</v>
      </c>
      <c r="E8" s="10"/>
      <c r="F8" s="8">
        <v>3322</v>
      </c>
      <c r="H8">
        <v>3231</v>
      </c>
    </row>
    <row r="9" spans="1:8">
      <c r="A9" s="23" t="s">
        <v>82</v>
      </c>
      <c r="B9" s="21">
        <f>SUM(B4:B8)</f>
        <v>209623</v>
      </c>
      <c r="C9" s="21"/>
      <c r="D9" s="21">
        <f t="shared" ref="D9:F9" si="0">SUM(D4:D8)</f>
        <v>222805</v>
      </c>
      <c r="E9" s="21"/>
      <c r="F9" s="21">
        <f t="shared" si="0"/>
        <v>203723</v>
      </c>
      <c r="G9" s="51"/>
      <c r="H9" s="52">
        <f>SUM(H4:H8)</f>
        <v>177426</v>
      </c>
    </row>
    <row r="10" spans="1:8">
      <c r="A10" s="12"/>
      <c r="B10" s="7"/>
      <c r="C10" s="10"/>
      <c r="D10" s="7"/>
      <c r="E10" s="10"/>
      <c r="F10" s="8"/>
    </row>
    <row r="11" spans="1:8">
      <c r="A11" s="1" t="s">
        <v>83</v>
      </c>
      <c r="B11" s="7"/>
      <c r="C11" s="10"/>
      <c r="D11" s="7"/>
      <c r="E11" s="10"/>
      <c r="F11" s="8"/>
    </row>
    <row r="12" spans="1:8">
      <c r="A12" s="12" t="s">
        <v>84</v>
      </c>
      <c r="B12" s="7">
        <v>51143</v>
      </c>
      <c r="C12" s="10"/>
      <c r="D12" s="7">
        <v>50631</v>
      </c>
      <c r="E12" s="10"/>
      <c r="F12" s="8">
        <v>53095</v>
      </c>
      <c r="H12">
        <v>47342</v>
      </c>
    </row>
    <row r="13" spans="1:8">
      <c r="A13" s="12" t="s">
        <v>85</v>
      </c>
      <c r="B13" s="7">
        <v>198717</v>
      </c>
      <c r="C13" s="10"/>
      <c r="D13" s="7">
        <v>205786</v>
      </c>
      <c r="E13" s="10"/>
      <c r="F13" s="8">
        <v>212773</v>
      </c>
      <c r="H13">
        <v>148574</v>
      </c>
    </row>
    <row r="14" spans="1:8">
      <c r="A14" s="24" t="s">
        <v>86</v>
      </c>
      <c r="B14" s="25">
        <v>17712</v>
      </c>
      <c r="C14" s="26"/>
      <c r="D14" s="25">
        <v>20050</v>
      </c>
      <c r="E14" s="26"/>
      <c r="F14" s="27">
        <v>21144</v>
      </c>
      <c r="H14">
        <v>27701</v>
      </c>
    </row>
    <row r="15" spans="1:8">
      <c r="A15" s="23" t="s">
        <v>87</v>
      </c>
      <c r="B15" s="21">
        <f>SUM(B12:B14)</f>
        <v>267572</v>
      </c>
      <c r="C15" s="21"/>
      <c r="D15" s="21">
        <f t="shared" ref="D15:F15" si="1">SUM(D12:D14)</f>
        <v>276467</v>
      </c>
      <c r="E15" s="21"/>
      <c r="F15" s="21">
        <f t="shared" si="1"/>
        <v>287012</v>
      </c>
      <c r="H15">
        <f>SUM(H12:H14)</f>
        <v>223617</v>
      </c>
    </row>
    <row r="17" spans="1:8">
      <c r="A17" s="1" t="s">
        <v>88</v>
      </c>
      <c r="B17" s="7">
        <f>SUM(B9,B15)</f>
        <v>477195</v>
      </c>
      <c r="C17" s="7"/>
      <c r="D17" s="7">
        <f t="shared" ref="D17:F17" si="2">SUM(D9,D15)</f>
        <v>499272</v>
      </c>
      <c r="E17" s="7"/>
      <c r="F17" s="7">
        <f t="shared" si="2"/>
        <v>490735</v>
      </c>
      <c r="H17">
        <f>SUM(H9,H15)</f>
        <v>401043</v>
      </c>
    </row>
    <row r="19" spans="1:8">
      <c r="B19" s="10"/>
      <c r="C19" s="10"/>
      <c r="D19" s="10"/>
      <c r="E19" s="10"/>
      <c r="F19" s="10"/>
    </row>
    <row r="20" spans="1:8">
      <c r="A20" s="32" t="s">
        <v>89</v>
      </c>
      <c r="B20" s="11"/>
      <c r="C20" s="11"/>
      <c r="D20" s="11"/>
      <c r="E20" s="11"/>
      <c r="F20" s="11"/>
    </row>
    <row r="21" spans="1:8">
      <c r="A21" s="9" t="s">
        <v>90</v>
      </c>
      <c r="B21" s="10">
        <v>56398</v>
      </c>
      <c r="C21" s="10"/>
      <c r="D21" s="10">
        <v>59765</v>
      </c>
      <c r="E21" s="10"/>
      <c r="F21" s="10">
        <v>59539</v>
      </c>
      <c r="H21">
        <v>46677</v>
      </c>
    </row>
    <row r="22" spans="1:8">
      <c r="A22" s="9" t="s">
        <v>91</v>
      </c>
      <c r="B22" s="10">
        <v>78020</v>
      </c>
      <c r="C22" s="10"/>
      <c r="D22" s="10">
        <v>84305</v>
      </c>
      <c r="E22" s="10"/>
      <c r="F22" s="10">
        <v>81309</v>
      </c>
      <c r="H22">
        <v>77303</v>
      </c>
    </row>
    <row r="23" spans="1:8">
      <c r="A23" s="12" t="s">
        <v>92</v>
      </c>
      <c r="B23" s="7"/>
      <c r="C23" s="10"/>
      <c r="D23" s="7">
        <v>3300</v>
      </c>
      <c r="E23" s="10"/>
      <c r="F23" s="8"/>
      <c r="H23">
        <v>10766</v>
      </c>
    </row>
    <row r="24" spans="1:8">
      <c r="A24" s="12" t="s">
        <v>93</v>
      </c>
      <c r="B24" s="7">
        <v>10437</v>
      </c>
      <c r="C24" s="10"/>
      <c r="D24" s="7">
        <v>11080</v>
      </c>
      <c r="E24" s="10"/>
      <c r="F24" s="8">
        <v>11363</v>
      </c>
      <c r="H24">
        <v>3802</v>
      </c>
    </row>
    <row r="25" spans="1:8">
      <c r="A25" s="28" t="s">
        <v>94</v>
      </c>
      <c r="B25" s="25">
        <v>11560</v>
      </c>
      <c r="C25" s="26"/>
      <c r="D25" s="25">
        <v>11428</v>
      </c>
      <c r="E25" s="26"/>
      <c r="F25" s="27">
        <v>9714</v>
      </c>
      <c r="H25">
        <v>12029</v>
      </c>
    </row>
    <row r="26" spans="1:8">
      <c r="A26" s="23" t="s">
        <v>95</v>
      </c>
      <c r="B26" s="21">
        <f>SUM(B21:B25)</f>
        <v>156415</v>
      </c>
      <c r="C26" s="21"/>
      <c r="D26" s="21">
        <f t="shared" ref="D26:F26" si="3">SUM(D21:D25)</f>
        <v>169878</v>
      </c>
      <c r="E26" s="21"/>
      <c r="F26" s="21">
        <f t="shared" si="3"/>
        <v>161925</v>
      </c>
      <c r="H26">
        <f>SUM(H21:H25)</f>
        <v>150577</v>
      </c>
    </row>
    <row r="27" spans="1:8">
      <c r="A27" s="12"/>
      <c r="B27" s="7"/>
      <c r="C27" s="10"/>
      <c r="D27" s="7"/>
      <c r="E27" s="10"/>
      <c r="F27" s="8"/>
    </row>
    <row r="28" spans="1:8">
      <c r="A28" s="1" t="s">
        <v>96</v>
      </c>
      <c r="B28" s="7"/>
      <c r="C28" s="10"/>
      <c r="D28" s="7"/>
      <c r="E28" s="10"/>
      <c r="F28" s="8"/>
    </row>
    <row r="29" spans="1:8">
      <c r="A29" s="12" t="s">
        <v>91</v>
      </c>
      <c r="B29" s="10">
        <v>139645</v>
      </c>
      <c r="C29" s="10"/>
      <c r="D29" s="10">
        <v>144124</v>
      </c>
      <c r="E29" s="10"/>
      <c r="F29" s="10">
        <v>154909</v>
      </c>
      <c r="H29">
        <v>89823</v>
      </c>
    </row>
    <row r="30" spans="1:8">
      <c r="A30" s="28" t="s">
        <v>93</v>
      </c>
      <c r="B30" s="25">
        <v>4332</v>
      </c>
      <c r="C30" s="26"/>
      <c r="D30" s="25">
        <v>3335</v>
      </c>
      <c r="E30" s="26"/>
      <c r="F30" s="27">
        <v>3818</v>
      </c>
      <c r="H30">
        <v>3912</v>
      </c>
    </row>
    <row r="31" spans="1:8">
      <c r="A31" s="23" t="s">
        <v>97</v>
      </c>
      <c r="B31" s="22">
        <f>SUM(B29:B30)</f>
        <v>143977</v>
      </c>
      <c r="C31" s="22"/>
      <c r="D31" s="22">
        <f t="shared" ref="D31:F31" si="4">SUM(D29:D30)</f>
        <v>147459</v>
      </c>
      <c r="E31" s="22"/>
      <c r="F31" s="22">
        <f t="shared" si="4"/>
        <v>158727</v>
      </c>
      <c r="H31">
        <f>SUM(H29:H30)</f>
        <v>93735</v>
      </c>
    </row>
    <row r="32" spans="1:8">
      <c r="B32" s="10"/>
      <c r="C32" s="10"/>
      <c r="D32" s="10"/>
      <c r="E32" s="10"/>
      <c r="F32" s="10"/>
    </row>
    <row r="33" spans="1:8">
      <c r="A33" s="3" t="s">
        <v>98</v>
      </c>
      <c r="B33" s="25">
        <f>SUM(B26,B31)</f>
        <v>300392</v>
      </c>
      <c r="C33" s="25"/>
      <c r="D33" s="25">
        <f t="shared" ref="D33:F33" si="5">SUM(D26,D31)</f>
        <v>317337</v>
      </c>
      <c r="E33" s="25"/>
      <c r="F33" s="25">
        <f t="shared" si="5"/>
        <v>320652</v>
      </c>
      <c r="H33">
        <f>SUM(H26,H31)</f>
        <v>244312</v>
      </c>
    </row>
    <row r="34" spans="1:8">
      <c r="B34" s="10"/>
      <c r="C34" s="10"/>
      <c r="D34" s="10"/>
      <c r="E34" s="10"/>
      <c r="F34" s="10"/>
    </row>
    <row r="35" spans="1:8">
      <c r="A35" s="29" t="s">
        <v>99</v>
      </c>
      <c r="B35" s="30">
        <f>B17-B33</f>
        <v>176803</v>
      </c>
      <c r="C35" s="30"/>
      <c r="D35" s="30">
        <f>D17-D33</f>
        <v>181935</v>
      </c>
      <c r="E35" s="30"/>
      <c r="F35" s="30">
        <f>F17-F33</f>
        <v>170083</v>
      </c>
    </row>
    <row r="36" spans="1:8">
      <c r="A36" s="1" t="s">
        <v>100</v>
      </c>
      <c r="B36" s="7">
        <f>B9-B26</f>
        <v>53208</v>
      </c>
      <c r="C36" s="7"/>
      <c r="D36" s="7">
        <f>D9-D26</f>
        <v>52927</v>
      </c>
      <c r="E36" s="7"/>
      <c r="F36" s="7">
        <f>F9-F26</f>
        <v>41798</v>
      </c>
      <c r="H36">
        <f>H17-H33</f>
        <v>156731</v>
      </c>
    </row>
    <row r="38" spans="1:8">
      <c r="A38" s="32" t="s">
        <v>101</v>
      </c>
      <c r="B38" s="11"/>
      <c r="C38" s="11"/>
      <c r="D38" s="11"/>
      <c r="E38" s="11"/>
      <c r="F38" s="11"/>
    </row>
    <row r="39" spans="1:8">
      <c r="A39" t="s">
        <v>102</v>
      </c>
      <c r="B39" s="10">
        <v>70326</v>
      </c>
      <c r="C39" s="10"/>
      <c r="D39" s="10">
        <v>67598</v>
      </c>
      <c r="E39" s="10"/>
      <c r="F39" s="10">
        <v>62589</v>
      </c>
      <c r="H39">
        <v>70326</v>
      </c>
    </row>
    <row r="40" spans="1:8">
      <c r="A40" t="s">
        <v>103</v>
      </c>
      <c r="B40" s="10">
        <v>16279</v>
      </c>
      <c r="C40" s="10"/>
      <c r="D40" s="10">
        <v>13829</v>
      </c>
      <c r="E40" s="10"/>
      <c r="F40" s="10">
        <v>12172</v>
      </c>
      <c r="H40">
        <v>4109</v>
      </c>
    </row>
    <row r="41" spans="1:8">
      <c r="A41" s="4" t="s">
        <v>104</v>
      </c>
      <c r="B41" s="26">
        <v>90198</v>
      </c>
      <c r="C41" s="26"/>
      <c r="D41" s="26">
        <v>100508</v>
      </c>
      <c r="E41" s="26"/>
      <c r="F41" s="26">
        <v>95322</v>
      </c>
      <c r="H41">
        <v>82296</v>
      </c>
    </row>
    <row r="42" spans="1:8">
      <c r="A42" s="31" t="s">
        <v>105</v>
      </c>
      <c r="B42" s="22">
        <f>SUM(B39:B41)</f>
        <v>176803</v>
      </c>
      <c r="C42" s="22"/>
      <c r="D42" s="22">
        <f t="shared" ref="D42:F42" si="6">SUM(D39:D41)</f>
        <v>181935</v>
      </c>
      <c r="E42" s="22"/>
      <c r="F42" s="22">
        <f t="shared" si="6"/>
        <v>170083</v>
      </c>
      <c r="H42">
        <f>SUM(H39:H41)</f>
        <v>156731</v>
      </c>
    </row>
    <row r="43" spans="1:8">
      <c r="B43" s="10"/>
      <c r="C43" s="10"/>
      <c r="D43" s="10"/>
      <c r="E43" s="10"/>
      <c r="F43" s="10"/>
    </row>
    <row r="44" spans="1:8">
      <c r="B44" s="10"/>
      <c r="C44" s="10"/>
      <c r="D44" s="10"/>
      <c r="E44" s="10"/>
      <c r="F44" s="10"/>
    </row>
    <row r="45" spans="1:8">
      <c r="A45" s="46" t="s">
        <v>106</v>
      </c>
      <c r="B45" s="10"/>
      <c r="C45" s="10"/>
      <c r="D45" s="10"/>
      <c r="E45" s="10"/>
      <c r="F45" s="10"/>
    </row>
    <row r="46" spans="1:8">
      <c r="A46" s="12" t="s">
        <v>107</v>
      </c>
      <c r="B46" s="7">
        <f>SUM(B17+H17)/2</f>
        <v>439119</v>
      </c>
      <c r="C46" s="10"/>
      <c r="D46" s="7">
        <f>SUM(B17,D17) / 2</f>
        <v>488233.5</v>
      </c>
      <c r="E46" s="10"/>
      <c r="F46" s="8">
        <f>SUM(D17,F17) / 2</f>
        <v>495003.5</v>
      </c>
    </row>
    <row r="47" spans="1:8">
      <c r="A47" s="9" t="s">
        <v>108</v>
      </c>
      <c r="B47" s="11">
        <f>SUM(B15+H15)/2</f>
        <v>245594.5</v>
      </c>
      <c r="C47" s="10"/>
      <c r="D47" s="7">
        <f>SUM(B15,D15) / 2</f>
        <v>272019.5</v>
      </c>
      <c r="E47" s="10"/>
      <c r="F47" s="8">
        <f>SUM(D15,F15) / 2</f>
        <v>281739.5</v>
      </c>
    </row>
    <row r="48" spans="1:8">
      <c r="A48" s="9" t="s">
        <v>109</v>
      </c>
      <c r="B48" s="11">
        <f>SUM(B12+H12)/2</f>
        <v>49242.5</v>
      </c>
      <c r="C48" s="10"/>
      <c r="D48" s="7">
        <f>SUM(B12,D12) / 2</f>
        <v>50887</v>
      </c>
      <c r="E48" s="10"/>
      <c r="F48" s="7">
        <f>SUM(D12,F12) / 2</f>
        <v>51863</v>
      </c>
    </row>
    <row r="49" spans="1:6">
      <c r="A49" t="s">
        <v>110</v>
      </c>
      <c r="B49" s="47">
        <f>(B42+H42)/2</f>
        <v>166767</v>
      </c>
      <c r="D49" s="47">
        <f>(B42+D42)/2</f>
        <v>179369</v>
      </c>
      <c r="F49" s="47">
        <f>(D42+F42)/2</f>
        <v>176009</v>
      </c>
    </row>
    <row r="52" spans="1:6">
      <c r="B52" s="10"/>
      <c r="C52" s="10"/>
      <c r="D52" s="10"/>
      <c r="E52" s="10"/>
      <c r="F52" s="10"/>
    </row>
    <row r="53" spans="1:6">
      <c r="B53" s="10"/>
      <c r="C53" s="10"/>
      <c r="D53" s="10"/>
      <c r="E53" s="10"/>
      <c r="F53" s="10"/>
    </row>
    <row r="54" spans="1:6">
      <c r="B54" s="10"/>
      <c r="C54" s="10"/>
      <c r="D54" s="10"/>
      <c r="E54" s="10"/>
      <c r="F54" s="10"/>
    </row>
    <row r="55" spans="1:6">
      <c r="B55" s="10"/>
      <c r="C55" s="10"/>
      <c r="D55" s="10"/>
      <c r="E55" s="10"/>
      <c r="F55" s="10"/>
    </row>
    <row r="56" spans="1:6">
      <c r="B56" s="10"/>
      <c r="C56" s="10"/>
      <c r="D56" s="10"/>
      <c r="E56" s="10"/>
      <c r="F56" s="10"/>
    </row>
    <row r="57" spans="1:6">
      <c r="B57" s="10"/>
      <c r="C57" s="10"/>
      <c r="D57" s="10"/>
      <c r="E57" s="10"/>
      <c r="F57" s="10"/>
    </row>
    <row r="58" spans="1:6">
      <c r="B58" s="10"/>
      <c r="C58" s="10"/>
      <c r="D58" s="10"/>
      <c r="E58" s="10"/>
      <c r="F58" s="10"/>
    </row>
    <row r="59" spans="1:6">
      <c r="B59" s="10"/>
      <c r="C59" s="10"/>
      <c r="D59" s="10"/>
      <c r="E59" s="10"/>
      <c r="F59" s="10"/>
    </row>
    <row r="60" spans="1:6">
      <c r="B60" s="10"/>
      <c r="C60" s="10"/>
      <c r="D60" s="10"/>
      <c r="E60" s="10"/>
      <c r="F60" s="10"/>
    </row>
    <row r="61" spans="1:6">
      <c r="B61" s="10"/>
      <c r="C61" s="10"/>
      <c r="D61" s="10"/>
      <c r="E61" s="10"/>
      <c r="F61" s="10"/>
    </row>
    <row r="62" spans="1:6">
      <c r="B62" s="10"/>
      <c r="C62" s="10"/>
      <c r="D62" s="10"/>
      <c r="E62" s="10"/>
      <c r="F62" s="10"/>
    </row>
    <row r="63" spans="1:6">
      <c r="B63" s="10"/>
      <c r="C63" s="10"/>
      <c r="D63" s="10"/>
      <c r="E63" s="10"/>
      <c r="F63" s="10"/>
    </row>
    <row r="64" spans="1:6">
      <c r="B64" s="10"/>
      <c r="C64" s="10"/>
      <c r="D64" s="10"/>
      <c r="E64" s="10"/>
      <c r="F64" s="10"/>
    </row>
    <row r="65" spans="1:6">
      <c r="B65" s="10"/>
      <c r="C65" s="10"/>
      <c r="D65" s="10"/>
      <c r="E65" s="10"/>
      <c r="F65" s="10"/>
    </row>
    <row r="66" spans="1:6">
      <c r="B66" s="10"/>
      <c r="C66" s="10"/>
      <c r="D66" s="10"/>
      <c r="E66" s="10"/>
      <c r="F66" s="10"/>
    </row>
    <row r="67" spans="1:6">
      <c r="B67" s="10"/>
      <c r="C67" s="10"/>
      <c r="D67" s="10"/>
      <c r="E67" s="10"/>
      <c r="F67" s="10"/>
    </row>
    <row r="68" spans="1:6">
      <c r="B68" s="10"/>
      <c r="C68" s="10"/>
      <c r="D68" s="10"/>
      <c r="E68" s="10"/>
      <c r="F68" s="10"/>
    </row>
    <row r="69" spans="1:6">
      <c r="B69" s="10"/>
      <c r="C69" s="10"/>
      <c r="D69" s="10"/>
      <c r="E69" s="10"/>
      <c r="F69" s="10"/>
    </row>
    <row r="70" spans="1:6">
      <c r="A70" s="1" t="s">
        <v>72</v>
      </c>
      <c r="B70" s="7"/>
      <c r="C70" s="10"/>
      <c r="D70" s="7"/>
      <c r="E70" s="10"/>
      <c r="F70" s="8"/>
    </row>
    <row r="71" spans="1:6">
      <c r="A71" s="1" t="s">
        <v>73</v>
      </c>
      <c r="B71" s="7"/>
      <c r="C71" s="10"/>
      <c r="D71" s="7"/>
      <c r="E71" s="10"/>
      <c r="F71" s="8"/>
    </row>
    <row r="72" spans="1:6">
      <c r="A72" s="1" t="s">
        <v>74</v>
      </c>
      <c r="B72" s="7"/>
      <c r="C72" s="10"/>
      <c r="D72" s="7"/>
      <c r="E72" s="10"/>
      <c r="F72" s="8"/>
    </row>
    <row r="73" spans="1:6">
      <c r="A73" s="1" t="s">
        <v>75</v>
      </c>
      <c r="B73" s="7"/>
      <c r="C73" s="10"/>
      <c r="D73" s="7"/>
      <c r="E73" s="10"/>
      <c r="F73" s="8"/>
    </row>
    <row r="74" spans="1:6">
      <c r="A74" s="1" t="s">
        <v>45</v>
      </c>
      <c r="B74" s="7"/>
      <c r="C74" s="10"/>
      <c r="D74" s="7"/>
      <c r="E74" s="10"/>
      <c r="F74" s="8"/>
    </row>
    <row r="75" spans="1:6">
      <c r="B75" s="10"/>
      <c r="C75" s="10"/>
      <c r="D75" s="10"/>
      <c r="E75" s="10"/>
      <c r="F75" s="10"/>
    </row>
    <row r="76" spans="1:6">
      <c r="B76" s="10"/>
      <c r="C76" s="10"/>
      <c r="D76" s="10"/>
      <c r="E76" s="10"/>
      <c r="F76" s="10"/>
    </row>
    <row r="77" spans="1:6">
      <c r="B77" s="10"/>
      <c r="C77" s="10"/>
      <c r="D77" s="10"/>
      <c r="E77" s="10"/>
      <c r="F77" s="10"/>
    </row>
    <row r="78" spans="1:6">
      <c r="B78" s="10"/>
      <c r="C78" s="10"/>
      <c r="D78" s="10"/>
      <c r="E78" s="10"/>
      <c r="F78" s="10"/>
    </row>
    <row r="79" spans="1:6">
      <c r="B79" s="10"/>
      <c r="C79" s="10"/>
      <c r="D79" s="10"/>
      <c r="E79" s="10"/>
      <c r="F79" s="10"/>
    </row>
    <row r="80" spans="1:6">
      <c r="B80" s="10"/>
      <c r="C80" s="10"/>
      <c r="D80" s="10"/>
      <c r="E80" s="10"/>
      <c r="F80" s="10"/>
    </row>
    <row r="81" spans="2:6">
      <c r="B81" s="10"/>
      <c r="C81" s="10"/>
      <c r="D81" s="10"/>
      <c r="E81" s="10"/>
      <c r="F81" s="10"/>
    </row>
    <row r="82" spans="2:6">
      <c r="B82" s="10"/>
      <c r="C82" s="10"/>
      <c r="D82" s="10"/>
      <c r="E82" s="10"/>
      <c r="F82" s="10"/>
    </row>
    <row r="83" spans="2:6">
      <c r="B83" s="10"/>
      <c r="C83" s="10"/>
      <c r="D83" s="10"/>
      <c r="E83" s="10"/>
      <c r="F83"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4981-8524-4093-9E69-A084A9926606}">
  <dimension ref="A1:F71"/>
  <sheetViews>
    <sheetView zoomScale="79" workbookViewId="0">
      <selection activeCell="A29" sqref="A29"/>
    </sheetView>
  </sheetViews>
  <sheetFormatPr defaultColWidth="8.7109375" defaultRowHeight="14.45"/>
  <cols>
    <col min="1" max="1" width="61.7109375" bestFit="1" customWidth="1"/>
    <col min="2" max="2" width="15" customWidth="1"/>
    <col min="4" max="4" width="14.42578125" bestFit="1" customWidth="1"/>
    <col min="5" max="5" width="9.7109375" customWidth="1"/>
    <col min="6" max="6" width="15.140625" bestFit="1" customWidth="1"/>
    <col min="7" max="7" width="11.28515625" bestFit="1" customWidth="1"/>
    <col min="8" max="8" width="10.42578125" bestFit="1" customWidth="1"/>
    <col min="9" max="9" width="16.7109375" bestFit="1" customWidth="1"/>
    <col min="13" max="13" width="14.28515625" bestFit="1" customWidth="1"/>
    <col min="14" max="14" width="17.7109375" bestFit="1" customWidth="1"/>
    <col min="16" max="16" width="16.7109375" bestFit="1" customWidth="1"/>
    <col min="17" max="17" width="10.28515625" bestFit="1" customWidth="1"/>
  </cols>
  <sheetData>
    <row r="1" spans="1:6">
      <c r="A1" s="3" t="s">
        <v>0</v>
      </c>
      <c r="B1" s="5">
        <v>2022</v>
      </c>
      <c r="D1" s="5">
        <v>2023</v>
      </c>
      <c r="F1" s="6">
        <v>2024</v>
      </c>
    </row>
    <row r="2" spans="1:6">
      <c r="A2" s="2"/>
      <c r="B2" s="8" t="s">
        <v>43</v>
      </c>
      <c r="C2" s="15"/>
      <c r="D2" s="11"/>
      <c r="E2" s="15"/>
      <c r="F2" s="11"/>
    </row>
    <row r="3" spans="1:6">
      <c r="A3" s="1" t="s">
        <v>111</v>
      </c>
      <c r="B3" s="11"/>
      <c r="C3" s="10"/>
      <c r="D3" s="11"/>
      <c r="E3" s="10"/>
      <c r="F3" s="11"/>
    </row>
    <row r="4" spans="1:6">
      <c r="A4" s="12" t="s">
        <v>112</v>
      </c>
      <c r="B4" s="41">
        <v>867065</v>
      </c>
      <c r="C4" s="41"/>
      <c r="D4" s="41">
        <v>901274</v>
      </c>
      <c r="E4" s="41"/>
      <c r="F4" s="41">
        <v>938010</v>
      </c>
    </row>
    <row r="5" spans="1:6">
      <c r="A5" s="12" t="s">
        <v>113</v>
      </c>
      <c r="B5" s="41">
        <v>-745255</v>
      </c>
      <c r="C5" s="41"/>
      <c r="D5" s="41">
        <v>-789302</v>
      </c>
      <c r="E5" s="41"/>
      <c r="F5" s="41">
        <v>-821141</v>
      </c>
    </row>
    <row r="6" spans="1:6">
      <c r="A6" s="12" t="s">
        <v>114</v>
      </c>
      <c r="B6" s="41">
        <v>128</v>
      </c>
      <c r="C6" s="41"/>
      <c r="D6" s="41">
        <v>1842</v>
      </c>
      <c r="E6" s="41"/>
      <c r="F6" s="41">
        <v>2460</v>
      </c>
    </row>
    <row r="7" spans="1:6">
      <c r="A7" s="12" t="s">
        <v>115</v>
      </c>
      <c r="B7" s="41"/>
      <c r="C7" s="41"/>
      <c r="D7" s="41">
        <v>4220</v>
      </c>
      <c r="E7" s="41"/>
      <c r="F7" s="41">
        <v>47</v>
      </c>
    </row>
    <row r="8" spans="1:6">
      <c r="A8" s="12" t="s">
        <v>116</v>
      </c>
      <c r="B8" s="41">
        <v>-96</v>
      </c>
      <c r="C8" s="41"/>
      <c r="D8" s="41">
        <v>-279</v>
      </c>
      <c r="E8" s="41"/>
      <c r="F8" s="41">
        <v>-270</v>
      </c>
    </row>
    <row r="9" spans="1:6">
      <c r="A9" s="12" t="s">
        <v>117</v>
      </c>
      <c r="B9" s="41">
        <v>-6406</v>
      </c>
      <c r="C9" s="41"/>
      <c r="D9" s="41">
        <v>-7771</v>
      </c>
      <c r="E9" s="41"/>
      <c r="F9" s="41">
        <v>-8667</v>
      </c>
    </row>
    <row r="10" spans="1:6">
      <c r="A10" s="28" t="s">
        <v>118</v>
      </c>
      <c r="B10" s="35">
        <v>704</v>
      </c>
      <c r="C10" s="35"/>
      <c r="D10" s="35">
        <v>1036</v>
      </c>
      <c r="E10" s="35"/>
      <c r="F10" s="35">
        <v>-8332</v>
      </c>
    </row>
    <row r="11" spans="1:6">
      <c r="A11" s="42" t="s">
        <v>119</v>
      </c>
      <c r="B11" s="35">
        <f>SUM(B4:B10)</f>
        <v>116140</v>
      </c>
      <c r="C11" s="35"/>
      <c r="D11" s="35">
        <f t="shared" ref="D11:F11" si="0">SUM(D4:D10)</f>
        <v>111020</v>
      </c>
      <c r="E11" s="35"/>
      <c r="F11" s="35">
        <f t="shared" si="0"/>
        <v>102107</v>
      </c>
    </row>
    <row r="12" spans="1:6">
      <c r="B12" s="11"/>
      <c r="C12" s="11"/>
      <c r="D12" s="11"/>
      <c r="E12" s="11"/>
      <c r="F12" s="11"/>
    </row>
    <row r="13" spans="1:6">
      <c r="A13" s="32" t="s">
        <v>120</v>
      </c>
      <c r="B13" s="11"/>
      <c r="C13" s="11"/>
      <c r="D13" s="11"/>
      <c r="E13" s="11"/>
      <c r="F13" s="11"/>
    </row>
    <row r="14" spans="1:6">
      <c r="A14" s="4" t="s">
        <v>121</v>
      </c>
      <c r="B14" s="35">
        <v>-16451</v>
      </c>
      <c r="C14" s="35"/>
      <c r="D14" s="35">
        <v>-12126</v>
      </c>
      <c r="E14" s="35"/>
      <c r="F14" s="35">
        <v>-15741</v>
      </c>
    </row>
    <row r="15" spans="1:6">
      <c r="A15" s="43" t="s">
        <v>122</v>
      </c>
      <c r="B15" s="36">
        <f>SUM(B14)</f>
        <v>-16451</v>
      </c>
      <c r="C15" s="36"/>
      <c r="D15" s="36">
        <f t="shared" ref="D15:F15" si="1">SUM(D14)</f>
        <v>-12126</v>
      </c>
      <c r="E15" s="36"/>
      <c r="F15" s="36">
        <f t="shared" si="1"/>
        <v>-15741</v>
      </c>
    </row>
    <row r="17" spans="1:6">
      <c r="A17" s="32" t="s">
        <v>123</v>
      </c>
      <c r="B17" s="11"/>
      <c r="C17" s="11"/>
      <c r="D17" s="11"/>
      <c r="E17" s="11"/>
      <c r="F17" s="11"/>
    </row>
    <row r="18" spans="1:6">
      <c r="A18" s="9" t="s">
        <v>124</v>
      </c>
      <c r="B18" s="41">
        <v>-95266</v>
      </c>
      <c r="C18" s="41"/>
      <c r="D18" s="41">
        <v>-96300</v>
      </c>
      <c r="E18" s="41"/>
      <c r="F18" s="41">
        <v>-98910</v>
      </c>
    </row>
    <row r="19" spans="1:6">
      <c r="A19" s="9" t="s">
        <v>125</v>
      </c>
      <c r="B19" s="41"/>
      <c r="C19" s="41"/>
      <c r="D19" s="41">
        <v>-2728</v>
      </c>
      <c r="E19" s="41"/>
      <c r="F19" s="41">
        <v>-5009</v>
      </c>
    </row>
    <row r="20" spans="1:6">
      <c r="A20" s="4" t="s">
        <v>126</v>
      </c>
      <c r="B20" s="35"/>
      <c r="C20" s="35"/>
      <c r="D20" s="35"/>
      <c r="E20" s="35"/>
      <c r="F20" s="35">
        <v>-9899</v>
      </c>
    </row>
    <row r="21" spans="1:6">
      <c r="A21" s="31" t="s">
        <v>127</v>
      </c>
      <c r="B21" s="36">
        <f>SUM(B18:B20)</f>
        <v>-95266</v>
      </c>
      <c r="C21" s="36"/>
      <c r="D21" s="36">
        <f t="shared" ref="D21:F21" si="2">SUM(D18:D20)</f>
        <v>-99028</v>
      </c>
      <c r="E21" s="36"/>
      <c r="F21" s="36">
        <f t="shared" si="2"/>
        <v>-113818</v>
      </c>
    </row>
    <row r="23" spans="1:6">
      <c r="A23" s="20" t="s">
        <v>128</v>
      </c>
      <c r="B23" s="34">
        <v>4423</v>
      </c>
      <c r="C23" s="34"/>
      <c r="D23" s="34">
        <v>-134</v>
      </c>
      <c r="E23" s="34"/>
      <c r="F23" s="34">
        <v>-27452</v>
      </c>
    </row>
    <row r="24" spans="1:6">
      <c r="A24" s="4" t="s">
        <v>129</v>
      </c>
      <c r="B24" s="35">
        <v>73046</v>
      </c>
      <c r="C24" s="35"/>
      <c r="D24" s="35">
        <f>B25</f>
        <v>77469</v>
      </c>
      <c r="E24" s="35"/>
      <c r="F24" s="35">
        <f>D25</f>
        <v>77335</v>
      </c>
    </row>
    <row r="25" spans="1:6">
      <c r="A25" s="31" t="s">
        <v>130</v>
      </c>
      <c r="B25" s="36">
        <f>SUM(B23:B24)</f>
        <v>77469</v>
      </c>
      <c r="C25" s="36"/>
      <c r="D25" s="36">
        <f>SUM(D23:D24)</f>
        <v>77335</v>
      </c>
      <c r="E25" s="36"/>
      <c r="F25" s="36">
        <f>SUM(F23:F24)</f>
        <v>49883</v>
      </c>
    </row>
    <row r="29" spans="1:6">
      <c r="A29" s="33"/>
      <c r="B29" s="41"/>
      <c r="C29" s="41"/>
      <c r="D29" s="41"/>
      <c r="E29" s="41"/>
      <c r="F29" s="41"/>
    </row>
    <row r="30" spans="1:6">
      <c r="B30" s="41"/>
      <c r="C30" s="41"/>
      <c r="D30" s="41"/>
      <c r="E30" s="41"/>
      <c r="F30" s="41"/>
    </row>
    <row r="31" spans="1:6">
      <c r="B31" s="41"/>
      <c r="C31" s="41"/>
      <c r="D31" s="41"/>
      <c r="E31" s="41"/>
      <c r="F31" s="41"/>
    </row>
    <row r="32" spans="1:6">
      <c r="A32" s="20"/>
      <c r="B32" s="41"/>
      <c r="C32" s="41"/>
      <c r="D32" s="41"/>
      <c r="E32" s="41"/>
      <c r="F32" s="41"/>
    </row>
    <row r="33" spans="1:6">
      <c r="A33" s="20"/>
      <c r="B33" s="41"/>
      <c r="C33" s="41"/>
      <c r="D33" s="41"/>
      <c r="E33" s="41"/>
      <c r="F33" s="41"/>
    </row>
    <row r="34" spans="1:6">
      <c r="B34" s="41"/>
      <c r="C34" s="41"/>
      <c r="D34" s="41"/>
      <c r="E34" s="41"/>
      <c r="F34" s="41"/>
    </row>
    <row r="35" spans="1:6">
      <c r="A35" s="20"/>
      <c r="B35" s="41"/>
      <c r="C35" s="41"/>
      <c r="D35" s="41"/>
      <c r="E35" s="41"/>
      <c r="F35" s="41"/>
    </row>
    <row r="36" spans="1:6">
      <c r="B36" s="45"/>
      <c r="C36" s="45"/>
      <c r="D36" s="45"/>
      <c r="E36" s="45"/>
      <c r="F36" s="45"/>
    </row>
    <row r="37" spans="1:6">
      <c r="B37" s="40"/>
      <c r="C37" s="40"/>
      <c r="D37" s="40"/>
      <c r="E37" s="40"/>
      <c r="F37" s="40"/>
    </row>
    <row r="38" spans="1:6">
      <c r="A38" s="32"/>
      <c r="B38" s="11"/>
      <c r="C38" s="11"/>
      <c r="D38" s="11"/>
      <c r="E38" s="11"/>
      <c r="F38" s="11"/>
    </row>
    <row r="39" spans="1:6">
      <c r="A39" s="32"/>
      <c r="B39" s="11"/>
      <c r="C39" s="11"/>
      <c r="D39" s="11"/>
      <c r="E39" s="11"/>
      <c r="F39" s="11"/>
    </row>
    <row r="40" spans="1:6">
      <c r="A40" s="32"/>
      <c r="B40" s="11"/>
      <c r="C40" s="11"/>
      <c r="D40" s="11"/>
      <c r="E40" s="11"/>
      <c r="F40" s="11"/>
    </row>
    <row r="41" spans="1:6">
      <c r="A41" s="32"/>
      <c r="B41" s="11"/>
      <c r="C41" s="11"/>
      <c r="D41" s="11"/>
      <c r="E41" s="11"/>
      <c r="F41" s="11"/>
    </row>
    <row r="42" spans="1:6">
      <c r="A42" s="32"/>
      <c r="B42" s="11"/>
      <c r="C42" s="11"/>
      <c r="D42" s="11"/>
      <c r="E42" s="11"/>
      <c r="F42" s="11"/>
    </row>
    <row r="43" spans="1:6">
      <c r="A43" s="32"/>
      <c r="B43" s="11"/>
      <c r="C43" s="11"/>
      <c r="D43" s="11"/>
      <c r="E43" s="11"/>
      <c r="F43" s="11"/>
    </row>
    <row r="44" spans="1:6">
      <c r="B44" s="10"/>
      <c r="C44" s="10"/>
      <c r="D44" s="10"/>
      <c r="E44" s="10"/>
      <c r="F44" s="10"/>
    </row>
    <row r="45" spans="1:6">
      <c r="B45" s="10"/>
      <c r="C45" s="10"/>
      <c r="D45" s="10"/>
      <c r="E45" s="10"/>
      <c r="F45" s="10"/>
    </row>
    <row r="46" spans="1:6">
      <c r="B46" s="10"/>
      <c r="C46" s="10"/>
      <c r="D46" s="10"/>
      <c r="E46" s="10"/>
      <c r="F46" s="10"/>
    </row>
    <row r="47" spans="1:6">
      <c r="B47" s="10"/>
      <c r="C47" s="10"/>
      <c r="D47" s="10"/>
      <c r="E47" s="10"/>
      <c r="F47" s="10"/>
    </row>
    <row r="48" spans="1:6">
      <c r="B48" s="10"/>
      <c r="C48" s="10"/>
      <c r="D48" s="10"/>
      <c r="E48" s="10"/>
      <c r="F48" s="10"/>
    </row>
    <row r="49" spans="2:6">
      <c r="B49" s="10"/>
      <c r="C49" s="10"/>
      <c r="D49" s="10"/>
      <c r="E49" s="10"/>
      <c r="F49" s="10"/>
    </row>
    <row r="50" spans="2:6">
      <c r="B50" s="10"/>
      <c r="C50" s="10"/>
      <c r="D50" s="10"/>
      <c r="E50" s="10"/>
      <c r="F50" s="10"/>
    </row>
    <row r="51" spans="2:6">
      <c r="B51" s="10"/>
      <c r="C51" s="10"/>
      <c r="D51" s="10"/>
      <c r="E51" s="10"/>
      <c r="F51" s="10"/>
    </row>
    <row r="52" spans="2:6">
      <c r="B52" s="10"/>
      <c r="C52" s="10"/>
      <c r="D52" s="10"/>
      <c r="E52" s="10"/>
      <c r="F52" s="10"/>
    </row>
    <row r="53" spans="2:6">
      <c r="B53" s="10"/>
      <c r="C53" s="10"/>
      <c r="D53" s="10"/>
      <c r="E53" s="10"/>
      <c r="F53" s="10"/>
    </row>
    <row r="54" spans="2:6">
      <c r="B54" s="10"/>
      <c r="C54" s="10"/>
      <c r="D54" s="10"/>
      <c r="E54" s="10"/>
      <c r="F54" s="10"/>
    </row>
    <row r="55" spans="2:6">
      <c r="B55" s="10"/>
      <c r="C55" s="10"/>
      <c r="D55" s="10"/>
      <c r="E55" s="10"/>
      <c r="F55" s="10"/>
    </row>
    <row r="56" spans="2:6">
      <c r="B56" s="10"/>
      <c r="C56" s="10"/>
      <c r="D56" s="10"/>
      <c r="E56" s="10"/>
      <c r="F56" s="10"/>
    </row>
    <row r="57" spans="2:6">
      <c r="B57" s="10"/>
      <c r="C57" s="10"/>
      <c r="D57" s="10"/>
      <c r="E57" s="10"/>
      <c r="F57" s="10"/>
    </row>
    <row r="58" spans="2:6">
      <c r="B58" s="10"/>
      <c r="C58" s="10"/>
      <c r="D58" s="10"/>
      <c r="E58" s="10"/>
      <c r="F58" s="10"/>
    </row>
    <row r="59" spans="2:6">
      <c r="B59" s="10"/>
      <c r="C59" s="10"/>
      <c r="D59" s="10"/>
      <c r="E59" s="10"/>
      <c r="F59" s="10"/>
    </row>
    <row r="60" spans="2:6">
      <c r="B60" s="10"/>
      <c r="C60" s="10"/>
      <c r="D60" s="10"/>
      <c r="E60" s="10"/>
      <c r="F60" s="10"/>
    </row>
    <row r="61" spans="2:6">
      <c r="B61" s="10"/>
      <c r="C61" s="10"/>
      <c r="D61" s="10"/>
      <c r="E61" s="10"/>
      <c r="F61" s="10"/>
    </row>
    <row r="62" spans="2:6">
      <c r="B62" s="10"/>
      <c r="C62" s="10"/>
      <c r="D62" s="10"/>
      <c r="E62" s="10"/>
      <c r="F62" s="10"/>
    </row>
    <row r="63" spans="2:6">
      <c r="B63" s="10"/>
      <c r="C63" s="10"/>
      <c r="D63" s="10"/>
      <c r="E63" s="10"/>
      <c r="F63" s="10"/>
    </row>
    <row r="64" spans="2:6">
      <c r="B64" s="10"/>
      <c r="C64" s="10"/>
      <c r="D64" s="10"/>
      <c r="E64" s="10"/>
      <c r="F64" s="10"/>
    </row>
    <row r="65" spans="2:6">
      <c r="B65" s="10"/>
      <c r="C65" s="10"/>
      <c r="D65" s="10"/>
      <c r="E65" s="10"/>
      <c r="F65" s="10"/>
    </row>
    <row r="66" spans="2:6">
      <c r="B66" s="10"/>
      <c r="C66" s="10"/>
      <c r="D66" s="10"/>
      <c r="E66" s="10"/>
      <c r="F66" s="10"/>
    </row>
    <row r="67" spans="2:6">
      <c r="B67" s="10"/>
      <c r="C67" s="10"/>
      <c r="D67" s="10"/>
      <c r="E67" s="10"/>
      <c r="F67" s="10"/>
    </row>
    <row r="68" spans="2:6">
      <c r="B68" s="10"/>
      <c r="C68" s="10"/>
      <c r="D68" s="10"/>
      <c r="E68" s="10"/>
      <c r="F68" s="10"/>
    </row>
    <row r="69" spans="2:6">
      <c r="B69" s="10"/>
      <c r="C69" s="10"/>
      <c r="D69" s="10"/>
      <c r="E69" s="10"/>
      <c r="F69" s="10"/>
    </row>
    <row r="70" spans="2:6">
      <c r="B70" s="10"/>
      <c r="C70" s="10"/>
      <c r="D70" s="10"/>
      <c r="E70" s="10"/>
      <c r="F70" s="10"/>
    </row>
    <row r="71" spans="2:6">
      <c r="B71" s="10"/>
      <c r="C71" s="10"/>
      <c r="D71" s="10"/>
      <c r="E71" s="10"/>
      <c r="F71"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540D-28E8-4198-A00D-DCFEF3D7E7A9}">
  <dimension ref="A1:T29"/>
  <sheetViews>
    <sheetView zoomScale="80" workbookViewId="0">
      <selection activeCell="A22" sqref="A22"/>
    </sheetView>
  </sheetViews>
  <sheetFormatPr defaultColWidth="8.7109375" defaultRowHeight="14.45"/>
  <cols>
    <col min="2" max="2" width="23.28515625" bestFit="1" customWidth="1"/>
    <col min="3" max="3" width="24.7109375" bestFit="1" customWidth="1"/>
    <col min="4" max="4" width="57.7109375" customWidth="1"/>
    <col min="6" max="6" width="12.42578125" bestFit="1" customWidth="1"/>
    <col min="8" max="8" width="12.42578125" bestFit="1" customWidth="1"/>
    <col min="10" max="10" width="12.42578125" bestFit="1" customWidth="1"/>
    <col min="11" max="11" width="12.42578125" customWidth="1"/>
  </cols>
  <sheetData>
    <row r="1" spans="1:20">
      <c r="F1" s="97" t="s">
        <v>12</v>
      </c>
      <c r="G1" s="97"/>
      <c r="H1" s="97"/>
      <c r="I1" s="97"/>
      <c r="J1" s="97"/>
      <c r="K1" s="74"/>
      <c r="L1" s="97" t="s">
        <v>10</v>
      </c>
      <c r="M1" s="97"/>
      <c r="N1" s="97"/>
      <c r="O1" s="97" t="s">
        <v>11</v>
      </c>
      <c r="P1" s="97"/>
      <c r="Q1" s="97"/>
      <c r="R1" s="97" t="s">
        <v>9</v>
      </c>
      <c r="S1" s="97"/>
      <c r="T1" s="97"/>
    </row>
    <row r="2" spans="1:20">
      <c r="B2" s="85" t="s">
        <v>131</v>
      </c>
      <c r="C2" s="85" t="s">
        <v>38</v>
      </c>
      <c r="D2" s="87" t="s">
        <v>132</v>
      </c>
      <c r="E2" s="4"/>
      <c r="F2" s="29">
        <v>2022</v>
      </c>
      <c r="G2" s="29"/>
      <c r="H2" s="29">
        <v>2023</v>
      </c>
      <c r="I2" s="29"/>
      <c r="J2" s="29">
        <v>2024</v>
      </c>
      <c r="K2" s="20"/>
      <c r="L2" s="20">
        <v>2022</v>
      </c>
      <c r="M2" s="20">
        <v>2023</v>
      </c>
      <c r="N2" s="20">
        <v>2024</v>
      </c>
      <c r="O2" s="20">
        <v>2022</v>
      </c>
      <c r="P2" s="20">
        <v>2023</v>
      </c>
      <c r="Q2" s="20">
        <v>2024</v>
      </c>
      <c r="R2" s="20">
        <v>2022</v>
      </c>
      <c r="S2" s="20">
        <v>2023</v>
      </c>
      <c r="T2" s="20">
        <v>2024</v>
      </c>
    </row>
    <row r="3" spans="1:20">
      <c r="D3" s="88"/>
    </row>
    <row r="4" spans="1:20">
      <c r="B4" s="98" t="s">
        <v>133</v>
      </c>
      <c r="C4" t="s">
        <v>134</v>
      </c>
      <c r="D4" s="88" t="s">
        <v>135</v>
      </c>
      <c r="F4">
        <f>'Income Statement'!$B$13/'Income Statement'!$B$6*100</f>
        <v>2.2522448244413464</v>
      </c>
      <c r="H4">
        <f>'Income Statement'!$D$13/'Income Statement'!$D$6*100</f>
        <v>2.7478731575644355</v>
      </c>
      <c r="J4">
        <f>'Income Statement'!$F$13/'Income Statement'!$F$6*100</f>
        <v>1.9041371867410783</v>
      </c>
      <c r="L4">
        <f>418/9635*100</f>
        <v>4.3383497664763881</v>
      </c>
      <c r="M4">
        <f>769/10635*100</f>
        <v>7.2308415608838743</v>
      </c>
      <c r="N4">
        <f>958/11107*100</f>
        <v>8.6251913207886908</v>
      </c>
      <c r="O4">
        <f>3848/109120*100</f>
        <v>3.5263929618768328</v>
      </c>
      <c r="P4">
        <f>5707/107412*100</f>
        <v>5.3131866085725985</v>
      </c>
      <c r="Q4">
        <f>5566/106566*100</f>
        <v>5.2230542574554732</v>
      </c>
      <c r="R4">
        <f>55/4431*100</f>
        <v>1.2412547957571656</v>
      </c>
      <c r="S4">
        <f>145/4785*100</f>
        <v>3.0303030303030303</v>
      </c>
      <c r="T4">
        <f>14/4685*100</f>
        <v>0.29882604055496265</v>
      </c>
    </row>
    <row r="5" spans="1:20">
      <c r="A5" s="44"/>
      <c r="B5" s="98"/>
      <c r="C5" t="s">
        <v>136</v>
      </c>
      <c r="D5" s="88" t="s">
        <v>137</v>
      </c>
      <c r="F5">
        <f>'Income Statement'!$B$18/'Income Statement'!$B$6*100</f>
        <v>1.002322516486569</v>
      </c>
      <c r="H5">
        <f>'Income Statement'!$D$18/'Income Statement'!$D$6*100</f>
        <v>1.2490883230232057</v>
      </c>
      <c r="J5">
        <f>'Income Statement'!$F$18/'Income Statement'!$F$6*100</f>
        <v>0.55107144986863388</v>
      </c>
      <c r="L5">
        <f>300/9570*100</f>
        <v>3.1347962382445136</v>
      </c>
      <c r="M5">
        <f>423/10630*100</f>
        <v>3.9793038570084662</v>
      </c>
      <c r="N5">
        <f>571/11530*100</f>
        <v>4.9522983521248918</v>
      </c>
      <c r="O5">
        <f>2780/109120*100</f>
        <v>2.5476539589442817</v>
      </c>
      <c r="P5">
        <f>4138/107412*100</f>
        <v>3.8524559639518863</v>
      </c>
      <c r="Q5">
        <f>4091/106566*100</f>
        <v>3.8389354953737591</v>
      </c>
      <c r="R5">
        <f>78/4730*100</f>
        <v>1.6490486257928119</v>
      </c>
      <c r="S5">
        <f>47/4380*100</f>
        <v>1.0730593607305936</v>
      </c>
      <c r="T5">
        <f>8/4210*100</f>
        <v>0.19002375296912113</v>
      </c>
    </row>
    <row r="6" spans="1:20">
      <c r="B6" s="98"/>
      <c r="C6" t="s">
        <v>138</v>
      </c>
      <c r="D6" s="88" t="s">
        <v>139</v>
      </c>
      <c r="F6">
        <f>'Income Statement'!$B$18/'Balance Sheet'!$B$46*100</f>
        <v>1.7995122051197969</v>
      </c>
      <c r="H6">
        <f>'Income Statement'!$D$18/'Balance Sheet'!$D$46*100</f>
        <v>2.1116945068292119</v>
      </c>
      <c r="J6">
        <f>'Income Statement'!$F$18/'Balance Sheet'!$F$46*100</f>
        <v>0.95211447999862631</v>
      </c>
      <c r="L6">
        <f>300/5000*100</f>
        <v>6</v>
      </c>
      <c r="M6">
        <f>423/5300*100</f>
        <v>7.981132075471697</v>
      </c>
      <c r="N6">
        <f>571/5600*100</f>
        <v>10.196428571428571</v>
      </c>
      <c r="O6">
        <f>2780/53000*100</f>
        <v>5.2452830188679247</v>
      </c>
      <c r="P6">
        <f>4138/55356*100</f>
        <v>7.4752511019582339</v>
      </c>
      <c r="Q6">
        <f>4091/57769*100</f>
        <v>7.0816527895584143</v>
      </c>
      <c r="R6">
        <f>78/2000*100</f>
        <v>3.9</v>
      </c>
      <c r="S6">
        <f>47/1900*100</f>
        <v>2.4736842105263159</v>
      </c>
      <c r="T6">
        <f>8/2000*100</f>
        <v>0.4</v>
      </c>
    </row>
    <row r="7" spans="1:20">
      <c r="B7" s="98"/>
      <c r="C7" t="s">
        <v>140</v>
      </c>
      <c r="D7" s="88" t="s">
        <v>141</v>
      </c>
      <c r="F7">
        <f>'Income Statement'!$B$18/'Balance Sheet'!$B$49*100</f>
        <v>4.738347514796093</v>
      </c>
      <c r="H7">
        <f>'Income Statement'!$D$18/'Balance Sheet'!$D$49*100</f>
        <v>5.7479274568069183</v>
      </c>
      <c r="J7">
        <f>'Income Statement'!$F$18/'Balance Sheet'!$F$49*100</f>
        <v>2.6777039810464238</v>
      </c>
      <c r="L7">
        <f>300/(5000*0.6)*100</f>
        <v>10</v>
      </c>
      <c r="M7">
        <f>423/(5300*0.6)*100</f>
        <v>13.30188679245283</v>
      </c>
      <c r="N7">
        <f>571/(5600*0.6)*100</f>
        <v>16.99404761904762</v>
      </c>
      <c r="O7">
        <f>2780/13200*100</f>
        <v>21.060606060606059</v>
      </c>
      <c r="P7">
        <f>4138/14400*100</f>
        <v>28.736111111111111</v>
      </c>
      <c r="Q7">
        <f>4091/15000*100</f>
        <v>27.273333333333333</v>
      </c>
      <c r="R7">
        <f>78/(2000*0.6)*100</f>
        <v>6.5</v>
      </c>
      <c r="S7">
        <f>47/(1900*0.6)*100</f>
        <v>4.1228070175438596</v>
      </c>
      <c r="T7">
        <f>8/(2000*0.6)*100</f>
        <v>0.66666666666666674</v>
      </c>
    </row>
    <row r="8" spans="1:20">
      <c r="D8" s="88"/>
    </row>
    <row r="9" spans="1:20">
      <c r="B9" s="98" t="s">
        <v>142</v>
      </c>
      <c r="C9" s="9" t="s">
        <v>143</v>
      </c>
      <c r="D9" s="88" t="s">
        <v>144</v>
      </c>
      <c r="F9">
        <f>('Income Statement'!B4)/('Balance Sheet'!B46)</f>
        <v>1.7950509998428672</v>
      </c>
      <c r="H9">
        <f>('Income Statement'!D4)/('Balance Sheet'!D46)</f>
        <v>1.6781724318384543</v>
      </c>
      <c r="J9">
        <f>('Income Statement'!F4)/('Balance Sheet'!F46)</f>
        <v>1.7226868092851868</v>
      </c>
    </row>
    <row r="10" spans="1:20">
      <c r="B10" s="98"/>
      <c r="C10" t="s">
        <v>145</v>
      </c>
      <c r="D10" s="88" t="s">
        <v>146</v>
      </c>
      <c r="F10">
        <f>('Income Statement'!B4)/('Balance Sheet'!B47)</f>
        <v>3.2095222002121382</v>
      </c>
      <c r="H10">
        <f>('Income Statement'!D4)/('Balance Sheet'!D47)</f>
        <v>3.0120634733906946</v>
      </c>
      <c r="J10">
        <f>('Income Statement'!F4)/('Balance Sheet'!F47)</f>
        <v>3.0266824495677747</v>
      </c>
    </row>
    <row r="11" spans="1:20">
      <c r="B11" s="98"/>
      <c r="C11" t="s">
        <v>147</v>
      </c>
      <c r="D11" s="88" t="s">
        <v>148</v>
      </c>
      <c r="F11">
        <f>('Income Statement'!B4)/('Balance Sheet'!B48)</f>
        <v>16.007331065644514</v>
      </c>
      <c r="H11">
        <f>('Income Statement'!D4)/('Balance Sheet'!D48)</f>
        <v>16.101165327097295</v>
      </c>
      <c r="J11">
        <f>('Income Statement'!F4)/('Balance Sheet'!F48)</f>
        <v>16.44208780826408</v>
      </c>
    </row>
    <row r="12" spans="1:20">
      <c r="B12" s="98"/>
      <c r="C12" t="s">
        <v>149</v>
      </c>
      <c r="D12" s="88" t="s">
        <v>150</v>
      </c>
      <c r="F12">
        <f>('Income Statement'!B9) / (('Balance Sheet'!H5 + 'Balance Sheet'!B5) / 2)</f>
        <v>4.3955216868375553</v>
      </c>
      <c r="H12">
        <f>'Income Statement'!D9 / (('Balance Sheet'!B5 + 'Balance Sheet'!D5) /2)</f>
        <v>3.9761751500619558</v>
      </c>
      <c r="J12">
        <f>'Income Statement'!F9 / (('Balance Sheet'!D5 + 'Balance Sheet'!F5) / 2)</f>
        <v>3.6288812607271024</v>
      </c>
    </row>
    <row r="13" spans="1:20">
      <c r="B13" s="98"/>
      <c r="C13" t="s">
        <v>151</v>
      </c>
      <c r="D13" s="88" t="s">
        <v>152</v>
      </c>
      <c r="F13">
        <f>(365 / Ratios!F12)</f>
        <v>83.039062483299091</v>
      </c>
      <c r="H13">
        <f xml:space="preserve"> 365 / H12</f>
        <v>91.796761013989197</v>
      </c>
      <c r="J13">
        <f xml:space="preserve"> 365 / J12</f>
        <v>100.58196280769644</v>
      </c>
    </row>
    <row r="14" spans="1:20">
      <c r="B14" s="98"/>
      <c r="C14" t="s">
        <v>153</v>
      </c>
      <c r="D14" s="88" t="s">
        <v>154</v>
      </c>
      <c r="F14">
        <f>((('Balance Sheet'!H21 + 'Balance Sheet'!B21) / 2) / 'Income Statement'!B9) * 365</f>
        <v>40.212975294416928</v>
      </c>
      <c r="H14">
        <f>((('Balance Sheet'!B21+'Balance Sheet'!D21) / 2) / 'Income Statement'!D9) * 365</f>
        <v>42.899966003395612</v>
      </c>
      <c r="J14">
        <f>((('Balance Sheet'!D21 + 'Balance Sheet'!F22 ) / 2) / 'Income Statement'!F9) * 365</f>
        <v>50.318088984003204</v>
      </c>
    </row>
    <row r="15" spans="1:20">
      <c r="B15" s="98"/>
      <c r="C15" t="s">
        <v>155</v>
      </c>
      <c r="D15" s="88" t="s">
        <v>156</v>
      </c>
      <c r="F15">
        <v>0</v>
      </c>
      <c r="H15">
        <v>0</v>
      </c>
      <c r="J15">
        <v>0</v>
      </c>
    </row>
    <row r="16" spans="1:20">
      <c r="D16" s="88"/>
    </row>
    <row r="17" spans="2:11">
      <c r="B17" s="98" t="s">
        <v>157</v>
      </c>
      <c r="C17" t="s">
        <v>19</v>
      </c>
      <c r="D17" s="88" t="s">
        <v>158</v>
      </c>
      <c r="F17">
        <f>'Balance Sheet'!B9/'Balance Sheet'!B26</f>
        <v>1.3401719783908193</v>
      </c>
      <c r="H17">
        <f>'Balance Sheet'!D9/'Balance Sheet'!D26</f>
        <v>1.3115588834339937</v>
      </c>
      <c r="J17">
        <f>'Balance Sheet'!F9/'Balance Sheet'!F26</f>
        <v>1.2581318511656632</v>
      </c>
    </row>
    <row r="18" spans="2:11">
      <c r="B18" s="98"/>
      <c r="C18" s="86" t="s">
        <v>20</v>
      </c>
      <c r="D18" s="89" t="s">
        <v>159</v>
      </c>
      <c r="F18">
        <f>('Balance Sheet'!B9-'Balance Sheet'!B5)/'Balance Sheet'!B26</f>
        <v>0.61764536649298341</v>
      </c>
      <c r="H18">
        <f>('Balance Sheet'!D9-'Balance Sheet'!D5)/'Balance Sheet'!D26</f>
        <v>0.51363331331897011</v>
      </c>
      <c r="J18">
        <f>('Balance Sheet'!F9-'Balance Sheet'!F5)/'Balance Sheet'!F26</f>
        <v>0.35372549019607841</v>
      </c>
    </row>
    <row r="19" spans="2:11">
      <c r="B19" s="98"/>
      <c r="C19" t="s">
        <v>21</v>
      </c>
      <c r="D19" s="88" t="s">
        <v>160</v>
      </c>
      <c r="F19">
        <f>'Cash Flows'!B11/'Balance Sheet'!B26</f>
        <v>0.74251190742575834</v>
      </c>
      <c r="H19">
        <f>'Cash Flows'!D11/'Balance Sheet'!D26</f>
        <v>0.65352782585149338</v>
      </c>
      <c r="J19">
        <f>'Cash Flows'!F11/'Balance Sheet'!F26</f>
        <v>0.63058205959549174</v>
      </c>
    </row>
    <row r="20" spans="2:11">
      <c r="D20" s="88"/>
    </row>
    <row r="21" spans="2:11">
      <c r="B21" s="98" t="s">
        <v>161</v>
      </c>
      <c r="C21" t="s">
        <v>40</v>
      </c>
      <c r="D21" s="88" t="s">
        <v>162</v>
      </c>
      <c r="F21">
        <f>SUM('Income Statement'!B13/'Balance Sheet'!B26)</f>
        <v>0.11351852443819327</v>
      </c>
      <c r="H21">
        <f>SUM('Income Statement'!D13/'Balance Sheet'!D26)</f>
        <v>0.1335134626025736</v>
      </c>
      <c r="J21">
        <f>SUM('Income Statement'!F13/'Balance Sheet'!F26)</f>
        <v>0.1005712521228964</v>
      </c>
    </row>
    <row r="22" spans="2:11">
      <c r="B22" s="98"/>
      <c r="C22" t="s">
        <v>41</v>
      </c>
      <c r="D22" s="88" t="s">
        <v>163</v>
      </c>
      <c r="F22" s="66">
        <f>SUM(('Balance Sheet'!B22+'Balance Sheet'!B29)/'Balance Sheet'!B42)*100</f>
        <v>123.11159878508849</v>
      </c>
      <c r="H22" s="66">
        <f>SUM(('Balance Sheet'!D29+'Balance Sheet'!D22)/'Balance Sheet'!D42)*100</f>
        <v>125.5552807321296</v>
      </c>
      <c r="I22" t="s">
        <v>43</v>
      </c>
      <c r="J22" s="66">
        <f>SUM(('Balance Sheet'!F29+'Balance Sheet'!F22)/'Balance Sheet'!F42)*100</f>
        <v>138.88395665645595</v>
      </c>
      <c r="K22" s="66"/>
    </row>
    <row r="23" spans="2:11">
      <c r="D23" s="88"/>
    </row>
    <row r="24" spans="2:11">
      <c r="B24" s="98" t="s">
        <v>164</v>
      </c>
      <c r="C24" t="s">
        <v>165</v>
      </c>
      <c r="D24" s="88" t="s">
        <v>166</v>
      </c>
      <c r="F24" s="57">
        <v>3.23</v>
      </c>
      <c r="H24" s="61">
        <v>4.55</v>
      </c>
      <c r="I24" s="62"/>
      <c r="J24" s="57">
        <v>3.3</v>
      </c>
      <c r="K24" s="57"/>
    </row>
    <row r="25" spans="2:11" ht="14.65" customHeight="1">
      <c r="B25" s="98"/>
      <c r="C25" t="s">
        <v>167</v>
      </c>
      <c r="D25" s="88"/>
      <c r="F25" s="59"/>
      <c r="G25" s="60"/>
      <c r="H25" s="58">
        <v>16</v>
      </c>
      <c r="J25" s="63">
        <v>10</v>
      </c>
      <c r="K25" s="98" t="s">
        <v>168</v>
      </c>
    </row>
    <row r="26" spans="2:11" ht="14.65" customHeight="1">
      <c r="B26" s="98"/>
      <c r="C26" t="s">
        <v>169</v>
      </c>
      <c r="D26" s="88" t="s">
        <v>170</v>
      </c>
      <c r="F26" s="58">
        <f>'Income Statement'!B28</f>
        <v>20.6</v>
      </c>
      <c r="H26" s="58">
        <f>'Income Statement'!D28</f>
        <v>27.2</v>
      </c>
      <c r="J26" s="58">
        <f>'Income Statement'!F28</f>
        <v>12.4</v>
      </c>
      <c r="K26" s="98"/>
    </row>
    <row r="27" spans="2:11">
      <c r="B27" s="98"/>
      <c r="C27" t="s">
        <v>171</v>
      </c>
      <c r="D27" s="88" t="s">
        <v>172</v>
      </c>
      <c r="H27" s="64">
        <f>(H25/H26)</f>
        <v>0.58823529411764708</v>
      </c>
      <c r="J27" s="64">
        <f>(J25/J26)</f>
        <v>0.80645161290322576</v>
      </c>
      <c r="K27" s="64"/>
    </row>
    <row r="28" spans="2:11">
      <c r="B28" s="98"/>
      <c r="C28" t="s">
        <v>173</v>
      </c>
      <c r="D28" s="88" t="s">
        <v>174</v>
      </c>
      <c r="F28" s="65">
        <f>(F24)/(F26/100)</f>
        <v>15.679611650485436</v>
      </c>
      <c r="H28" s="65">
        <f>(H24)/(H26/100)</f>
        <v>16.727941176470587</v>
      </c>
      <c r="J28" s="65">
        <f>(J24)/(J26/100)</f>
        <v>26.612903225806452</v>
      </c>
      <c r="K28" s="65"/>
    </row>
    <row r="29" spans="2:11">
      <c r="B29" s="98"/>
      <c r="C29" t="s">
        <v>175</v>
      </c>
      <c r="D29" s="88" t="s">
        <v>176</v>
      </c>
      <c r="H29" s="56">
        <f>H25/(H24*100)</f>
        <v>3.5164835164835165E-2</v>
      </c>
      <c r="I29" s="64"/>
      <c r="J29" s="56">
        <f>J25/(J24*100)</f>
        <v>3.0303030303030304E-2</v>
      </c>
      <c r="K29" s="56"/>
    </row>
  </sheetData>
  <mergeCells count="10">
    <mergeCell ref="O1:Q1"/>
    <mergeCell ref="R1:T1"/>
    <mergeCell ref="F1:J1"/>
    <mergeCell ref="B4:B7"/>
    <mergeCell ref="K25:K26"/>
    <mergeCell ref="B9:B15"/>
    <mergeCell ref="B17:B19"/>
    <mergeCell ref="B21:B22"/>
    <mergeCell ref="L1:N1"/>
    <mergeCell ref="B24:B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9CEC-0774-364E-82F0-AF563FFA7079}">
  <dimension ref="B1:AD75"/>
  <sheetViews>
    <sheetView zoomScale="89" workbookViewId="0">
      <selection activeCell="K5" sqref="K5"/>
    </sheetView>
  </sheetViews>
  <sheetFormatPr defaultColWidth="11.42578125" defaultRowHeight="14.45"/>
  <cols>
    <col min="2" max="2" width="12.7109375" bestFit="1" customWidth="1"/>
    <col min="3" max="3" width="5.7109375" bestFit="1" customWidth="1"/>
    <col min="4" max="4" width="13" bestFit="1" customWidth="1"/>
    <col min="5" max="5" width="12.7109375" bestFit="1" customWidth="1"/>
    <col min="6" max="6" width="15.140625" bestFit="1" customWidth="1"/>
    <col min="7" max="7" width="15" bestFit="1" customWidth="1"/>
    <col min="8" max="8" width="17.7109375" bestFit="1" customWidth="1"/>
    <col min="9" max="9" width="16.140625" bestFit="1" customWidth="1"/>
    <col min="10" max="11" width="7.7109375" bestFit="1" customWidth="1"/>
    <col min="12" max="12" width="12" bestFit="1" customWidth="1"/>
    <col min="18" max="18" width="13.28515625" bestFit="1" customWidth="1"/>
    <col min="19" max="19" width="15.42578125" bestFit="1" customWidth="1"/>
    <col min="20" max="20" width="17.7109375" bestFit="1" customWidth="1"/>
    <col min="21" max="22" width="7.7109375" bestFit="1" customWidth="1"/>
    <col min="23" max="23" width="15.42578125" bestFit="1" customWidth="1"/>
    <col min="24" max="24" width="14.140625" bestFit="1" customWidth="1"/>
    <col min="25" max="25" width="6.140625" bestFit="1" customWidth="1"/>
    <col min="26" max="26" width="7.140625" bestFit="1" customWidth="1"/>
    <col min="27" max="27" width="10.42578125" bestFit="1" customWidth="1"/>
    <col min="28" max="28" width="14.140625" bestFit="1" customWidth="1"/>
    <col min="29" max="30" width="7.140625" bestFit="1" customWidth="1"/>
    <col min="31" max="31" width="7.7109375" bestFit="1" customWidth="1"/>
    <col min="32" max="34" width="11.140625" bestFit="1" customWidth="1"/>
  </cols>
  <sheetData>
    <row r="1" spans="2:18">
      <c r="B1" s="54" t="s">
        <v>17</v>
      </c>
      <c r="C1" s="54" t="s">
        <v>0</v>
      </c>
      <c r="D1" s="54" t="s">
        <v>13</v>
      </c>
      <c r="E1" s="55" t="s">
        <v>39</v>
      </c>
    </row>
    <row r="2" spans="2:18">
      <c r="B2" t="s">
        <v>12</v>
      </c>
      <c r="C2" t="s">
        <v>14</v>
      </c>
      <c r="D2" t="s">
        <v>5</v>
      </c>
      <c r="E2" s="56">
        <v>2.2522449999999999E-2</v>
      </c>
      <c r="F2" s="20"/>
    </row>
    <row r="3" spans="2:18">
      <c r="B3" t="s">
        <v>12</v>
      </c>
      <c r="C3" t="s">
        <v>14</v>
      </c>
      <c r="D3" t="s">
        <v>6</v>
      </c>
      <c r="E3" s="56">
        <v>1.0023230000000001E-2</v>
      </c>
      <c r="F3" s="20"/>
    </row>
    <row r="4" spans="2:18">
      <c r="B4" t="s">
        <v>12</v>
      </c>
      <c r="C4" t="s">
        <v>14</v>
      </c>
      <c r="D4" t="s">
        <v>7</v>
      </c>
      <c r="E4" s="56">
        <v>1.799512E-2</v>
      </c>
      <c r="F4" s="20"/>
    </row>
    <row r="5" spans="2:18">
      <c r="B5" t="s">
        <v>12</v>
      </c>
      <c r="C5" t="s">
        <v>14</v>
      </c>
      <c r="D5" t="s">
        <v>8</v>
      </c>
      <c r="E5" s="56">
        <v>4.7383480000000006E-2</v>
      </c>
      <c r="F5" s="20"/>
      <c r="R5" s="20"/>
    </row>
    <row r="6" spans="2:18">
      <c r="B6" t="s">
        <v>10</v>
      </c>
      <c r="C6" t="s">
        <v>14</v>
      </c>
      <c r="D6" t="s">
        <v>5</v>
      </c>
      <c r="E6" s="56">
        <v>4.3383499999999998E-2</v>
      </c>
      <c r="F6" s="20"/>
    </row>
    <row r="7" spans="2:18">
      <c r="B7" t="s">
        <v>10</v>
      </c>
      <c r="C7" t="s">
        <v>14</v>
      </c>
      <c r="D7" t="s">
        <v>6</v>
      </c>
      <c r="E7" s="56">
        <v>3.1347960000000001E-2</v>
      </c>
      <c r="F7" s="20"/>
    </row>
    <row r="8" spans="2:18">
      <c r="B8" t="s">
        <v>10</v>
      </c>
      <c r="C8" t="s">
        <v>14</v>
      </c>
      <c r="D8" t="s">
        <v>7</v>
      </c>
      <c r="E8" s="56">
        <v>0.06</v>
      </c>
      <c r="F8" s="20"/>
    </row>
    <row r="9" spans="2:18">
      <c r="B9" t="s">
        <v>10</v>
      </c>
      <c r="C9" t="s">
        <v>14</v>
      </c>
      <c r="D9" t="s">
        <v>8</v>
      </c>
      <c r="E9" s="56">
        <v>0.1</v>
      </c>
      <c r="F9" s="20"/>
    </row>
    <row r="10" spans="2:18">
      <c r="B10" t="s">
        <v>11</v>
      </c>
      <c r="C10" t="s">
        <v>14</v>
      </c>
      <c r="D10" t="s">
        <v>5</v>
      </c>
      <c r="E10" s="56">
        <v>3.5263929999999999E-2</v>
      </c>
      <c r="F10" s="20"/>
    </row>
    <row r="11" spans="2:18">
      <c r="B11" t="s">
        <v>11</v>
      </c>
      <c r="C11" t="s">
        <v>14</v>
      </c>
      <c r="D11" t="s">
        <v>6</v>
      </c>
      <c r="E11" s="56">
        <v>2.5476540000000002E-2</v>
      </c>
      <c r="F11" s="20"/>
    </row>
    <row r="12" spans="2:18">
      <c r="B12" t="s">
        <v>11</v>
      </c>
      <c r="C12" t="s">
        <v>14</v>
      </c>
      <c r="D12" t="s">
        <v>7</v>
      </c>
      <c r="E12" s="56">
        <v>5.2452829999999999E-2</v>
      </c>
      <c r="F12" s="20"/>
    </row>
    <row r="13" spans="2:18">
      <c r="B13" t="s">
        <v>11</v>
      </c>
      <c r="C13" t="s">
        <v>14</v>
      </c>
      <c r="D13" t="s">
        <v>8</v>
      </c>
      <c r="E13" s="56">
        <v>0.21060610000000002</v>
      </c>
      <c r="F13" s="20"/>
    </row>
    <row r="14" spans="2:18">
      <c r="B14" t="s">
        <v>9</v>
      </c>
      <c r="C14" t="s">
        <v>14</v>
      </c>
      <c r="D14" t="s">
        <v>5</v>
      </c>
      <c r="E14" s="56">
        <v>1.241255E-2</v>
      </c>
      <c r="F14" s="20"/>
    </row>
    <row r="15" spans="2:18">
      <c r="B15" t="s">
        <v>9</v>
      </c>
      <c r="C15" t="s">
        <v>14</v>
      </c>
      <c r="D15" t="s">
        <v>6</v>
      </c>
      <c r="E15" s="56">
        <v>1.649049E-2</v>
      </c>
    </row>
    <row r="16" spans="2:18">
      <c r="B16" t="s">
        <v>9</v>
      </c>
      <c r="C16" t="s">
        <v>14</v>
      </c>
      <c r="D16" t="s">
        <v>7</v>
      </c>
      <c r="E16" s="56">
        <v>3.9E-2</v>
      </c>
      <c r="F16" s="20"/>
    </row>
    <row r="17" spans="2:6">
      <c r="B17" t="s">
        <v>9</v>
      </c>
      <c r="C17" t="s">
        <v>14</v>
      </c>
      <c r="D17" t="s">
        <v>8</v>
      </c>
      <c r="E17" s="56">
        <v>6.5000000000000002E-2</v>
      </c>
      <c r="F17" s="20"/>
    </row>
    <row r="18" spans="2:6">
      <c r="B18" t="s">
        <v>12</v>
      </c>
      <c r="C18" t="s">
        <v>15</v>
      </c>
      <c r="D18" t="s">
        <v>5</v>
      </c>
      <c r="E18" s="56">
        <v>2.7478729999999996E-2</v>
      </c>
      <c r="F18" s="20"/>
    </row>
    <row r="19" spans="2:6">
      <c r="B19" t="s">
        <v>12</v>
      </c>
      <c r="C19" t="s">
        <v>15</v>
      </c>
      <c r="D19" t="s">
        <v>6</v>
      </c>
      <c r="E19" s="56">
        <v>1.2490879999999999E-2</v>
      </c>
      <c r="F19" s="20"/>
    </row>
    <row r="20" spans="2:6">
      <c r="B20" t="s">
        <v>12</v>
      </c>
      <c r="C20" t="s">
        <v>15</v>
      </c>
      <c r="D20" t="s">
        <v>7</v>
      </c>
      <c r="E20" s="56">
        <v>2.1116950000000002E-2</v>
      </c>
      <c r="F20" s="20"/>
    </row>
    <row r="21" spans="2:6">
      <c r="B21" t="s">
        <v>12</v>
      </c>
      <c r="C21" t="s">
        <v>15</v>
      </c>
      <c r="D21" t="s">
        <v>8</v>
      </c>
      <c r="E21" s="56">
        <v>5.7479269999999999E-2</v>
      </c>
      <c r="F21" s="20"/>
    </row>
    <row r="22" spans="2:6">
      <c r="B22" t="s">
        <v>10</v>
      </c>
      <c r="C22" t="s">
        <v>15</v>
      </c>
      <c r="D22" t="s">
        <v>5</v>
      </c>
      <c r="E22" s="56">
        <v>7.2308419999999998E-2</v>
      </c>
      <c r="F22" s="20"/>
    </row>
    <row r="23" spans="2:6">
      <c r="B23" t="s">
        <v>10</v>
      </c>
      <c r="C23" t="s">
        <v>15</v>
      </c>
      <c r="D23" t="s">
        <v>6</v>
      </c>
      <c r="E23" s="56">
        <v>3.9793040000000002E-2</v>
      </c>
      <c r="F23" s="20"/>
    </row>
    <row r="24" spans="2:6">
      <c r="B24" t="s">
        <v>10</v>
      </c>
      <c r="C24" t="s">
        <v>15</v>
      </c>
      <c r="D24" t="s">
        <v>7</v>
      </c>
      <c r="E24" s="56">
        <v>7.9811319999999991E-2</v>
      </c>
    </row>
    <row r="25" spans="2:6">
      <c r="B25" t="s">
        <v>10</v>
      </c>
      <c r="C25" t="s">
        <v>15</v>
      </c>
      <c r="D25" t="s">
        <v>8</v>
      </c>
      <c r="E25" s="56">
        <v>0.1330189</v>
      </c>
      <c r="F25" s="20"/>
    </row>
    <row r="26" spans="2:6">
      <c r="B26" t="s">
        <v>11</v>
      </c>
      <c r="C26" t="s">
        <v>15</v>
      </c>
      <c r="D26" t="s">
        <v>5</v>
      </c>
      <c r="E26" s="56">
        <v>5.3131869999999998E-2</v>
      </c>
      <c r="F26" s="20"/>
    </row>
    <row r="27" spans="2:6">
      <c r="B27" t="s">
        <v>11</v>
      </c>
      <c r="C27" t="s">
        <v>15</v>
      </c>
      <c r="D27" t="s">
        <v>6</v>
      </c>
      <c r="E27" s="56">
        <v>3.8524559999999999E-2</v>
      </c>
      <c r="F27" s="20"/>
    </row>
    <row r="28" spans="2:6">
      <c r="B28" t="s">
        <v>11</v>
      </c>
      <c r="C28" t="s">
        <v>15</v>
      </c>
      <c r="D28" t="s">
        <v>7</v>
      </c>
      <c r="E28" s="56">
        <v>7.4752509999999994E-2</v>
      </c>
      <c r="F28" s="20"/>
    </row>
    <row r="29" spans="2:6">
      <c r="B29" t="s">
        <v>11</v>
      </c>
      <c r="C29" t="s">
        <v>15</v>
      </c>
      <c r="D29" t="s">
        <v>8</v>
      </c>
      <c r="E29" s="56">
        <v>0.28736109999999998</v>
      </c>
      <c r="F29" s="20"/>
    </row>
    <row r="30" spans="2:6">
      <c r="B30" t="s">
        <v>9</v>
      </c>
      <c r="C30" t="s">
        <v>15</v>
      </c>
      <c r="D30" t="s">
        <v>5</v>
      </c>
      <c r="E30" s="56">
        <v>3.0303029999999998E-2</v>
      </c>
      <c r="F30" s="20"/>
    </row>
    <row r="31" spans="2:6">
      <c r="B31" t="s">
        <v>9</v>
      </c>
      <c r="C31" t="s">
        <v>15</v>
      </c>
      <c r="D31" t="s">
        <v>6</v>
      </c>
      <c r="E31" s="56">
        <v>1.073059E-2</v>
      </c>
      <c r="F31" s="20"/>
    </row>
    <row r="32" spans="2:6">
      <c r="B32" t="s">
        <v>9</v>
      </c>
      <c r="C32" t="s">
        <v>15</v>
      </c>
      <c r="D32" t="s">
        <v>7</v>
      </c>
      <c r="E32" s="56">
        <v>2.473684E-2</v>
      </c>
      <c r="F32" s="20"/>
    </row>
    <row r="33" spans="2:30">
      <c r="B33" t="s">
        <v>9</v>
      </c>
      <c r="C33" t="s">
        <v>15</v>
      </c>
      <c r="D33" t="s">
        <v>8</v>
      </c>
      <c r="E33" s="56">
        <v>4.1228069999999999E-2</v>
      </c>
      <c r="F33" s="20"/>
    </row>
    <row r="34" spans="2:30">
      <c r="B34" t="s">
        <v>12</v>
      </c>
      <c r="C34" t="s">
        <v>16</v>
      </c>
      <c r="D34" t="s">
        <v>5</v>
      </c>
      <c r="E34" s="56">
        <v>1.9041369999999998E-2</v>
      </c>
    </row>
    <row r="35" spans="2:30">
      <c r="B35" t="s">
        <v>12</v>
      </c>
      <c r="C35" t="s">
        <v>16</v>
      </c>
      <c r="D35" t="s">
        <v>6</v>
      </c>
      <c r="E35" s="56">
        <v>5.5107099999999994E-3</v>
      </c>
    </row>
    <row r="36" spans="2:30">
      <c r="B36" t="s">
        <v>12</v>
      </c>
      <c r="C36" t="s">
        <v>16</v>
      </c>
      <c r="D36" t="s">
        <v>7</v>
      </c>
      <c r="E36" s="56">
        <v>9.5211400000000009E-3</v>
      </c>
    </row>
    <row r="37" spans="2:30">
      <c r="B37" t="s">
        <v>12</v>
      </c>
      <c r="C37" t="s">
        <v>16</v>
      </c>
      <c r="D37" t="s">
        <v>8</v>
      </c>
      <c r="E37" s="56">
        <v>2.6777039999999998E-2</v>
      </c>
    </row>
    <row r="38" spans="2:30">
      <c r="B38" t="s">
        <v>10</v>
      </c>
      <c r="C38" t="s">
        <v>16</v>
      </c>
      <c r="D38" t="s">
        <v>5</v>
      </c>
      <c r="E38" s="56">
        <v>8.6251909999999987E-2</v>
      </c>
      <c r="R38" s="48" t="s">
        <v>2</v>
      </c>
      <c r="S38" s="48" t="s">
        <v>3</v>
      </c>
    </row>
    <row r="39" spans="2:30">
      <c r="B39" t="s">
        <v>10</v>
      </c>
      <c r="C39" t="s">
        <v>16</v>
      </c>
      <c r="D39" t="s">
        <v>6</v>
      </c>
      <c r="E39" s="56">
        <v>4.9522980000000001E-2</v>
      </c>
      <c r="S39" t="s">
        <v>14</v>
      </c>
      <c r="W39" t="s">
        <v>15</v>
      </c>
      <c r="AA39" t="s">
        <v>16</v>
      </c>
    </row>
    <row r="40" spans="2:30">
      <c r="B40" t="s">
        <v>10</v>
      </c>
      <c r="C40" t="s">
        <v>16</v>
      </c>
      <c r="D40" t="s">
        <v>7</v>
      </c>
      <c r="E40" s="56">
        <v>0.10196429999999999</v>
      </c>
      <c r="R40" s="48" t="s">
        <v>4</v>
      </c>
      <c r="S40" t="s">
        <v>5</v>
      </c>
      <c r="T40" t="s">
        <v>6</v>
      </c>
      <c r="U40" t="s">
        <v>7</v>
      </c>
      <c r="V40" t="s">
        <v>8</v>
      </c>
      <c r="W40" t="s">
        <v>5</v>
      </c>
      <c r="X40" t="s">
        <v>6</v>
      </c>
      <c r="Y40" t="s">
        <v>7</v>
      </c>
      <c r="Z40" t="s">
        <v>8</v>
      </c>
      <c r="AA40" t="s">
        <v>5</v>
      </c>
      <c r="AB40" t="s">
        <v>6</v>
      </c>
      <c r="AC40" t="s">
        <v>7</v>
      </c>
      <c r="AD40" t="s">
        <v>8</v>
      </c>
    </row>
    <row r="41" spans="2:30">
      <c r="B41" t="s">
        <v>10</v>
      </c>
      <c r="C41" t="s">
        <v>16</v>
      </c>
      <c r="D41" t="s">
        <v>8</v>
      </c>
      <c r="E41" s="56">
        <v>0.16994050000000002</v>
      </c>
      <c r="R41" s="53" t="s">
        <v>9</v>
      </c>
      <c r="S41" s="56">
        <v>1.241255E-2</v>
      </c>
      <c r="T41" s="56">
        <v>1.649049E-2</v>
      </c>
      <c r="U41" s="56">
        <v>3.9E-2</v>
      </c>
      <c r="V41" s="56">
        <v>6.5000000000000002E-2</v>
      </c>
      <c r="W41" s="56">
        <v>3.0303029999999998E-2</v>
      </c>
      <c r="X41" s="56">
        <v>1.073059E-2</v>
      </c>
      <c r="Y41" s="56">
        <v>2.473684E-2</v>
      </c>
      <c r="Z41" s="56">
        <v>4.1228069999999999E-2</v>
      </c>
      <c r="AA41" s="56">
        <v>2.98826E-3</v>
      </c>
      <c r="AB41" s="56">
        <v>1.9002400000000001E-3</v>
      </c>
      <c r="AC41" s="56">
        <v>4.0000000000000001E-3</v>
      </c>
      <c r="AD41" s="56">
        <v>6.6666700000000004E-3</v>
      </c>
    </row>
    <row r="42" spans="2:30">
      <c r="B42" t="s">
        <v>11</v>
      </c>
      <c r="C42" t="s">
        <v>16</v>
      </c>
      <c r="D42" t="s">
        <v>5</v>
      </c>
      <c r="E42" s="56">
        <v>5.2230540000000006E-2</v>
      </c>
      <c r="R42" s="53" t="s">
        <v>10</v>
      </c>
      <c r="S42" s="56">
        <v>4.3383499999999998E-2</v>
      </c>
      <c r="T42" s="56">
        <v>3.1347960000000001E-2</v>
      </c>
      <c r="U42" s="56">
        <v>0.06</v>
      </c>
      <c r="V42" s="56">
        <v>0.1</v>
      </c>
      <c r="W42" s="56">
        <v>7.2308419999999998E-2</v>
      </c>
      <c r="X42" s="56">
        <v>3.9793040000000002E-2</v>
      </c>
      <c r="Y42" s="56">
        <v>7.9811319999999991E-2</v>
      </c>
      <c r="Z42" s="56">
        <v>0.1330189</v>
      </c>
      <c r="AA42" s="56">
        <v>8.6251909999999987E-2</v>
      </c>
      <c r="AB42" s="56">
        <v>4.9522980000000001E-2</v>
      </c>
      <c r="AC42" s="56">
        <v>0.10196429999999999</v>
      </c>
      <c r="AD42" s="56">
        <v>0.16994050000000002</v>
      </c>
    </row>
    <row r="43" spans="2:30">
      <c r="B43" t="s">
        <v>11</v>
      </c>
      <c r="C43" t="s">
        <v>16</v>
      </c>
      <c r="D43" t="s">
        <v>6</v>
      </c>
      <c r="E43" s="56">
        <v>3.8389350000000003E-2</v>
      </c>
      <c r="F43" s="20"/>
      <c r="R43" s="53" t="s">
        <v>11</v>
      </c>
      <c r="S43" s="56">
        <v>3.5263929999999999E-2</v>
      </c>
      <c r="T43" s="56">
        <v>2.5476540000000002E-2</v>
      </c>
      <c r="U43" s="56">
        <v>5.2452829999999999E-2</v>
      </c>
      <c r="V43" s="56">
        <v>0.21060610000000002</v>
      </c>
      <c r="W43" s="56">
        <v>5.3131869999999998E-2</v>
      </c>
      <c r="X43" s="56">
        <v>3.8524559999999999E-2</v>
      </c>
      <c r="Y43" s="56">
        <v>7.4752509999999994E-2</v>
      </c>
      <c r="Z43" s="56">
        <v>0.28736109999999998</v>
      </c>
      <c r="AA43" s="56">
        <v>5.2230540000000006E-2</v>
      </c>
      <c r="AB43" s="56">
        <v>3.8389350000000003E-2</v>
      </c>
      <c r="AC43" s="56">
        <v>7.0816530000000003E-2</v>
      </c>
      <c r="AD43" s="56">
        <v>0.27273330000000001</v>
      </c>
    </row>
    <row r="44" spans="2:30">
      <c r="B44" t="s">
        <v>11</v>
      </c>
      <c r="C44" t="s">
        <v>16</v>
      </c>
      <c r="D44" t="s">
        <v>7</v>
      </c>
      <c r="E44" s="56">
        <v>7.0816530000000003E-2</v>
      </c>
      <c r="R44" s="53" t="s">
        <v>12</v>
      </c>
      <c r="S44" s="56">
        <v>2.2522449999999999E-2</v>
      </c>
      <c r="T44" s="56">
        <v>1.0023230000000001E-2</v>
      </c>
      <c r="U44" s="56">
        <v>1.799512E-2</v>
      </c>
      <c r="V44" s="56">
        <v>4.7383480000000006E-2</v>
      </c>
      <c r="W44" s="56">
        <v>2.7478729999999996E-2</v>
      </c>
      <c r="X44" s="56">
        <v>1.2490879999999999E-2</v>
      </c>
      <c r="Y44" s="56">
        <v>2.1116950000000002E-2</v>
      </c>
      <c r="Z44" s="56">
        <v>5.7479269999999999E-2</v>
      </c>
      <c r="AA44" s="56">
        <v>1.9041369999999998E-2</v>
      </c>
      <c r="AB44" s="56">
        <v>5.5107099999999994E-3</v>
      </c>
      <c r="AC44" s="56">
        <v>9.5211400000000009E-3</v>
      </c>
      <c r="AD44" s="56">
        <v>2.6777039999999998E-2</v>
      </c>
    </row>
    <row r="45" spans="2:30">
      <c r="B45" t="s">
        <v>11</v>
      </c>
      <c r="C45" t="s">
        <v>16</v>
      </c>
      <c r="D45" t="s">
        <v>8</v>
      </c>
      <c r="E45" s="56">
        <v>0.27273330000000001</v>
      </c>
      <c r="F45" s="20"/>
    </row>
    <row r="46" spans="2:30">
      <c r="B46" t="s">
        <v>9</v>
      </c>
      <c r="C46" t="s">
        <v>16</v>
      </c>
      <c r="D46" t="s">
        <v>5</v>
      </c>
      <c r="E46" s="56">
        <v>2.98826E-3</v>
      </c>
      <c r="F46" s="20"/>
    </row>
    <row r="47" spans="2:30">
      <c r="B47" t="s">
        <v>9</v>
      </c>
      <c r="C47" t="s">
        <v>16</v>
      </c>
      <c r="D47" t="s">
        <v>6</v>
      </c>
      <c r="E47" s="56">
        <v>1.9002400000000001E-3</v>
      </c>
      <c r="F47" s="20"/>
      <c r="J47" s="20"/>
    </row>
    <row r="48" spans="2:30">
      <c r="B48" t="s">
        <v>9</v>
      </c>
      <c r="C48" t="s">
        <v>16</v>
      </c>
      <c r="D48" t="s">
        <v>7</v>
      </c>
      <c r="E48" s="56">
        <v>4.0000000000000001E-3</v>
      </c>
      <c r="F48" s="20"/>
    </row>
    <row r="49" spans="2:7">
      <c r="B49" t="s">
        <v>9</v>
      </c>
      <c r="C49" t="s">
        <v>16</v>
      </c>
      <c r="D49" t="s">
        <v>8</v>
      </c>
      <c r="E49" s="56">
        <v>6.6666700000000004E-3</v>
      </c>
      <c r="F49" s="20"/>
      <c r="G49" s="20"/>
    </row>
    <row r="50" spans="2:7">
      <c r="F50" s="20"/>
      <c r="G50" s="20"/>
    </row>
    <row r="51" spans="2:7">
      <c r="B51" s="54" t="s">
        <v>17</v>
      </c>
      <c r="C51" s="54" t="s">
        <v>0</v>
      </c>
      <c r="D51" s="54" t="s">
        <v>13</v>
      </c>
      <c r="E51" s="55" t="s">
        <v>39</v>
      </c>
      <c r="F51" s="20"/>
      <c r="G51" s="20"/>
    </row>
    <row r="52" spans="2:7">
      <c r="B52" t="s">
        <v>24</v>
      </c>
      <c r="C52">
        <v>2022</v>
      </c>
      <c r="D52" t="s">
        <v>5</v>
      </c>
      <c r="E52" s="56">
        <v>0.05</v>
      </c>
      <c r="F52" s="20"/>
      <c r="G52" s="20"/>
    </row>
    <row r="53" spans="2:7">
      <c r="B53" t="s">
        <v>24</v>
      </c>
      <c r="C53">
        <v>2023</v>
      </c>
      <c r="D53" t="s">
        <v>5</v>
      </c>
      <c r="E53" s="56">
        <v>0.05</v>
      </c>
      <c r="F53" s="20"/>
      <c r="G53" s="20"/>
    </row>
    <row r="54" spans="2:7">
      <c r="B54" t="s">
        <v>24</v>
      </c>
      <c r="C54">
        <v>2024</v>
      </c>
      <c r="D54" t="s">
        <v>5</v>
      </c>
      <c r="E54" s="56">
        <v>0.05</v>
      </c>
    </row>
    <row r="55" spans="2:7">
      <c r="B55" t="s">
        <v>24</v>
      </c>
      <c r="C55">
        <v>2022</v>
      </c>
      <c r="D55" t="s">
        <v>6</v>
      </c>
      <c r="E55" s="56">
        <v>3.2000000000000001E-2</v>
      </c>
    </row>
    <row r="56" spans="2:7">
      <c r="B56" t="s">
        <v>24</v>
      </c>
      <c r="C56">
        <v>2023</v>
      </c>
      <c r="D56" t="s">
        <v>6</v>
      </c>
      <c r="E56" s="56">
        <v>3.2000000000000001E-2</v>
      </c>
    </row>
    <row r="57" spans="2:7">
      <c r="B57" t="s">
        <v>24</v>
      </c>
      <c r="C57">
        <v>2024</v>
      </c>
      <c r="D57" t="s">
        <v>6</v>
      </c>
      <c r="E57" s="56">
        <v>3.2000000000000001E-2</v>
      </c>
    </row>
    <row r="58" spans="2:7">
      <c r="B58" t="s">
        <v>24</v>
      </c>
      <c r="C58">
        <v>2022</v>
      </c>
      <c r="D58" t="s">
        <v>7</v>
      </c>
      <c r="E58" s="56">
        <v>4.7E-2</v>
      </c>
    </row>
    <row r="59" spans="2:7">
      <c r="B59" t="s">
        <v>24</v>
      </c>
      <c r="C59">
        <v>2023</v>
      </c>
      <c r="D59" t="s">
        <v>7</v>
      </c>
      <c r="E59" s="56">
        <v>4.7E-2</v>
      </c>
    </row>
    <row r="60" spans="2:7">
      <c r="B60" t="s">
        <v>24</v>
      </c>
      <c r="C60">
        <v>2024</v>
      </c>
      <c r="D60" t="s">
        <v>7</v>
      </c>
      <c r="E60" s="56">
        <v>4.7E-2</v>
      </c>
    </row>
    <row r="61" spans="2:7">
      <c r="B61" t="s">
        <v>24</v>
      </c>
      <c r="C61">
        <v>2022</v>
      </c>
      <c r="D61" t="s">
        <v>8</v>
      </c>
      <c r="E61" s="56">
        <v>9.0999999999999998E-2</v>
      </c>
    </row>
    <row r="62" spans="2:7">
      <c r="B62" t="s">
        <v>24</v>
      </c>
      <c r="C62">
        <v>2023</v>
      </c>
      <c r="D62" t="s">
        <v>8</v>
      </c>
      <c r="E62" s="56">
        <v>9.0999999999999998E-2</v>
      </c>
    </row>
    <row r="63" spans="2:7">
      <c r="B63" t="s">
        <v>24</v>
      </c>
      <c r="C63">
        <v>2024</v>
      </c>
      <c r="D63" t="s">
        <v>8</v>
      </c>
      <c r="E63" s="56">
        <v>9.0999999999999998E-2</v>
      </c>
    </row>
    <row r="64" spans="2:7">
      <c r="B64" t="s">
        <v>12</v>
      </c>
      <c r="C64">
        <v>2022</v>
      </c>
      <c r="D64" t="s">
        <v>5</v>
      </c>
      <c r="E64" s="56">
        <v>2.2522449999999999E-2</v>
      </c>
    </row>
    <row r="65" spans="2:5">
      <c r="B65" t="s">
        <v>12</v>
      </c>
      <c r="C65">
        <v>2022</v>
      </c>
      <c r="D65" t="s">
        <v>6</v>
      </c>
      <c r="E65" s="56">
        <v>1.0023230000000001E-2</v>
      </c>
    </row>
    <row r="66" spans="2:5">
      <c r="B66" t="s">
        <v>12</v>
      </c>
      <c r="C66">
        <v>2022</v>
      </c>
      <c r="D66" t="s">
        <v>7</v>
      </c>
      <c r="E66" s="56">
        <v>1.799512E-2</v>
      </c>
    </row>
    <row r="67" spans="2:5">
      <c r="B67" t="s">
        <v>12</v>
      </c>
      <c r="C67">
        <v>2022</v>
      </c>
      <c r="D67" t="s">
        <v>8</v>
      </c>
      <c r="E67" s="56">
        <v>4.7383480000000006E-2</v>
      </c>
    </row>
    <row r="68" spans="2:5">
      <c r="B68" t="s">
        <v>12</v>
      </c>
      <c r="C68">
        <v>2023</v>
      </c>
      <c r="D68" t="s">
        <v>5</v>
      </c>
      <c r="E68" s="56">
        <v>2.7478729999999996E-2</v>
      </c>
    </row>
    <row r="69" spans="2:5">
      <c r="B69" t="s">
        <v>12</v>
      </c>
      <c r="C69">
        <v>2023</v>
      </c>
      <c r="D69" t="s">
        <v>6</v>
      </c>
      <c r="E69" s="56">
        <v>1.2490879999999999E-2</v>
      </c>
    </row>
    <row r="70" spans="2:5">
      <c r="B70" t="s">
        <v>12</v>
      </c>
      <c r="C70">
        <v>2023</v>
      </c>
      <c r="D70" t="s">
        <v>7</v>
      </c>
      <c r="E70" s="56">
        <v>2.1116950000000002E-2</v>
      </c>
    </row>
    <row r="71" spans="2:5">
      <c r="B71" t="s">
        <v>12</v>
      </c>
      <c r="C71">
        <v>2023</v>
      </c>
      <c r="D71" t="s">
        <v>8</v>
      </c>
      <c r="E71" s="56">
        <v>5.7479269999999999E-2</v>
      </c>
    </row>
    <row r="72" spans="2:5">
      <c r="B72" t="s">
        <v>12</v>
      </c>
      <c r="C72">
        <v>2024</v>
      </c>
      <c r="D72" t="s">
        <v>5</v>
      </c>
      <c r="E72" s="56">
        <v>1.9041369999999998E-2</v>
      </c>
    </row>
    <row r="73" spans="2:5">
      <c r="B73" t="s">
        <v>12</v>
      </c>
      <c r="C73">
        <v>2024</v>
      </c>
      <c r="D73" t="s">
        <v>6</v>
      </c>
      <c r="E73" s="56">
        <v>5.5107099999999994E-3</v>
      </c>
    </row>
    <row r="74" spans="2:5">
      <c r="B74" t="s">
        <v>12</v>
      </c>
      <c r="C74">
        <v>2024</v>
      </c>
      <c r="D74" t="s">
        <v>7</v>
      </c>
      <c r="E74" s="56">
        <v>9.5211400000000009E-3</v>
      </c>
    </row>
    <row r="75" spans="2:5">
      <c r="B75" t="s">
        <v>12</v>
      </c>
      <c r="C75">
        <v>2024</v>
      </c>
      <c r="D75" t="s">
        <v>8</v>
      </c>
      <c r="E75" s="56">
        <v>2.6777039999999998E-2</v>
      </c>
    </row>
  </sheetData>
  <phoneticPr fontId="5" type="noConversion"/>
  <conditionalFormatting pivot="1" sqref="S41:AD44">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07244256F0B54080282C1F33430ADE" ma:contentTypeVersion="9" ma:contentTypeDescription="Create a new document." ma:contentTypeScope="" ma:versionID="4ff0b046dfd1bd90fff0e67181990874">
  <xsd:schema xmlns:xsd="http://www.w3.org/2001/XMLSchema" xmlns:xs="http://www.w3.org/2001/XMLSchema" xmlns:p="http://schemas.microsoft.com/office/2006/metadata/properties" xmlns:ns3="76db8ff3-5652-442c-8cfc-b1047778f5dd" xmlns:ns4="5e823a86-e364-4a95-9062-75610f3d40c8" targetNamespace="http://schemas.microsoft.com/office/2006/metadata/properties" ma:root="true" ma:fieldsID="e01881b90e6d466447e0aa4cbd6561b4" ns3:_="" ns4:_="">
    <xsd:import namespace="76db8ff3-5652-442c-8cfc-b1047778f5dd"/>
    <xsd:import namespace="5e823a86-e364-4a95-9062-75610f3d40c8"/>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db8ff3-5652-442c-8cfc-b1047778f5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823a86-e364-4a95-9062-75610f3d40c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6db8ff3-5652-442c-8cfc-b1047778f5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30930D-3D66-4F7A-BA2B-5D1C16731865}"/>
</file>

<file path=customXml/itemProps2.xml><?xml version="1.0" encoding="utf-8"?>
<ds:datastoreItem xmlns:ds="http://schemas.openxmlformats.org/officeDocument/2006/customXml" ds:itemID="{DDAEFA4E-19D5-46A8-9A86-193DA65843F7}"/>
</file>

<file path=customXml/itemProps3.xml><?xml version="1.0" encoding="utf-8"?>
<ds:datastoreItem xmlns:ds="http://schemas.openxmlformats.org/officeDocument/2006/customXml" ds:itemID="{E24B0576-C03A-4FF7-AB16-726F718FE9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Cale Wilfred (23876634)</dc:creator>
  <cp:keywords/>
  <dc:description/>
  <cp:lastModifiedBy/>
  <cp:revision/>
  <dcterms:created xsi:type="dcterms:W3CDTF">2025-09-28T08:45:19Z</dcterms:created>
  <dcterms:modified xsi:type="dcterms:W3CDTF">2025-11-27T17:59:57Z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0x0101000607244256F0B54080282C1F33430ADE</vt:lpwstr>
  </property>
</Properties>
</file>